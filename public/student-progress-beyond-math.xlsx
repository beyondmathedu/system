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1" sheetId="1" r:id="rId1"/>
    <sheet name="F2" sheetId="2" r:id="rId2"/>
    <sheet name="F3" sheetId="3" r:id="rId3"/>
    <sheet name="F4" sheetId="4" r:id="rId4"/>
    <sheet name="F5" sheetId="5" r:id="rId5"/>
    <sheet name="F6 By Topics" sheetId="6" r:id="rId6"/>
    <sheet name="F6 By Years" sheetId="7" r:id="rId7"/>
    <sheet name="F6 學校mock卷" sheetId="8" r:id="rId8"/>
    <sheet name="Cut Off" sheetId="9" r:id="rId9"/>
    <sheet name="Exam Schedule" sheetId="10" r:id="rId10"/>
    <sheet name="PU" sheetId="11" r:id="rId11"/>
    <sheet name="M1" sheetId="12" r:id="rId12"/>
    <sheet name="M2" sheetId="13" r:id="rId1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m/d"/>
    <numFmt numFmtId="165" formatCode="#,##0.0_);[Red](#,##0.0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20"/>
  <sheetViews>
    <sheetView workbookViewId="0" rightToLeft="0"/>
  </sheetViews>
  <sheetData>
    <row r="1">
      <c r="A1" t="str">
        <v/>
      </c>
      <c r="B1" t="str">
        <v>Textbook: New Effective Learning</v>
      </c>
      <c r="C1" t="str">
        <v>Textbook: New Effective Learning</v>
      </c>
      <c r="D1" t="str">
        <v>Textbook: Mathematics in Focus</v>
      </c>
      <c r="E1" t="str">
        <v>Textbook: Mathematics in Focus</v>
      </c>
      <c r="F1" t="str">
        <v>Textbook: Maths Smart</v>
      </c>
      <c r="G1" t="str">
        <v>Textbook: Maths Smart</v>
      </c>
      <c r="H1" t="str">
        <v>Textbook: Inspiring Journey</v>
      </c>
      <c r="I1" t="str">
        <v>Textbook: Inspiring Journey</v>
      </c>
      <c r="J1" t="str">
        <v>Textbook: Modern Secondary Mathematics</v>
      </c>
      <c r="K1" t="str">
        <v>Textbook: Modern Secondary Mathematics</v>
      </c>
      <c r="L1" t="str">
        <v>Textbook: New Century</v>
      </c>
      <c r="M1" t="str">
        <v>Textbook: New Century</v>
      </c>
      <c r="N1" t="str">
        <v>Textbook: Maths in Action</v>
      </c>
      <c r="O1" t="str">
        <v>Textbook: Maths in Action</v>
      </c>
      <c r="P1" t="str">
        <v>Basic Concept</v>
      </c>
      <c r="Q1" t="str">
        <v>Chapter Diagnosis</v>
      </c>
      <c r="R1" t="str">
        <v>Date</v>
      </c>
      <c r="S1" t="str">
        <v>Exam Type Questions(MC)</v>
      </c>
      <c r="T1" t="str">
        <v>Date</v>
      </c>
      <c r="U1" t="str">
        <v>Exam Type Questions(LQ)</v>
      </c>
      <c r="V1" t="str">
        <v>Date</v>
      </c>
      <c r="W1" t="str">
        <v>Remarks</v>
      </c>
    </row>
    <row r="2">
      <c r="A2" t="str">
        <v>F.1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>Basic Mathematics</v>
      </c>
      <c r="M2" t="str">
        <v>基礎數學</v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>Directed Number</v>
      </c>
      <c r="M3" t="str">
        <v>有向數</v>
      </c>
      <c r="N3" t="str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>
        <v/>
      </c>
      <c r="V3" t="str">
        <v/>
      </c>
      <c r="W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>Using Algebra to Solve Problem(I)</v>
      </c>
      <c r="M4" t="str">
        <v>以代數解決問題 (一)</v>
      </c>
      <c r="N4" t="str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  <c r="U4" t="str">
        <v/>
      </c>
      <c r="V4" t="str">
        <v/>
      </c>
      <c r="W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>Using Algebra to Solve Problem(II)</v>
      </c>
      <c r="M5" t="str">
        <v>以代數解決問題 (二)</v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>
        <v/>
      </c>
      <c r="V5" t="str">
        <v/>
      </c>
      <c r="W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>Sequences</v>
      </c>
      <c r="M6" t="str">
        <v>序列</v>
      </c>
      <c r="N6" t="str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>
        <v/>
      </c>
      <c r="V6" t="str">
        <v/>
      </c>
      <c r="W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>Introduction to Geometry</v>
      </c>
      <c r="M7" t="str">
        <v>幾何簡介</v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>
        <v/>
      </c>
      <c r="V7" t="str">
        <v/>
      </c>
      <c r="W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>Percentgae(l)</v>
      </c>
      <c r="M8" t="str">
        <v>百分法 (一)</v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>Estimation in Number and Measurement</v>
      </c>
      <c r="M9" t="str">
        <v>數值與度量的估算</v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>Area and Volume(I)</v>
      </c>
      <c r="M10" t="str">
        <v>面積和體積 (一)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  <c r="V10" t="str">
        <v/>
      </c>
      <c r="W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>Introduction to Coordinates</v>
      </c>
      <c r="M11" t="str">
        <v>坐標簡介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>
        <v/>
      </c>
      <c r="V11" t="str">
        <v/>
      </c>
      <c r="W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>Symmetry and Transformation</v>
      </c>
      <c r="M12" t="str">
        <v>對稱與變換</v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>
        <v/>
      </c>
      <c r="V12" t="str">
        <v/>
      </c>
      <c r="W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>Angles Related to Lines</v>
      </c>
      <c r="M13" t="str">
        <v>與線相關的角度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>
        <v/>
      </c>
      <c r="V13" t="str">
        <v/>
      </c>
      <c r="W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>Congruence</v>
      </c>
      <c r="M14" t="str">
        <v>全等</v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>Similarity</v>
      </c>
      <c r="M15" t="str">
        <v>相似</v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>Introduction to Statistics</v>
      </c>
      <c r="M16" t="str">
        <v>統計學簡介</v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>
        <v/>
      </c>
      <c r="V16" t="str">
        <v/>
      </c>
      <c r="W16" t="str">
        <v/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>Manipulation of Simple Polynomials</v>
      </c>
      <c r="M17" t="str">
        <v>簡易多項式的運算</v>
      </c>
      <c r="N17" t="str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>
        <v/>
      </c>
      <c r="V17" t="str">
        <v/>
      </c>
      <c r="W17" t="str">
        <v/>
      </c>
    </row>
    <row r="18">
      <c r="A18" t="str">
        <v>Remedial</v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>Still need improvement about the concept</v>
      </c>
      <c r="M18" t="str">
        <v/>
      </c>
      <c r="N18" t="str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>
        <v/>
      </c>
      <c r="V18" t="str">
        <v/>
      </c>
      <c r="W18" t="str">
        <v/>
      </c>
    </row>
    <row r="19">
      <c r="A19" t="str">
        <v xml:space="preserve">Good </v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>Quite Familier with the chapter</v>
      </c>
      <c r="M19" t="str">
        <v/>
      </c>
      <c r="N19" t="str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>
        <v/>
      </c>
      <c r="V19" t="str">
        <v/>
      </c>
      <c r="W19" t="str">
        <v/>
      </c>
    </row>
    <row r="20">
      <c r="A20" t="str">
        <v>Mastered</v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>Mastered most of the question types and concept</v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  <c r="V20" t="str">
        <v/>
      </c>
      <c r="W20" t="str">
        <v/>
      </c>
    </row>
  </sheetData>
  <ignoredErrors>
    <ignoredError numberStoredAsText="1" sqref="A1:W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W16"/>
  <sheetViews>
    <sheetView workbookViewId="0" rightToLeft="0"/>
  </sheetViews>
  <sheetData>
    <row r="1">
      <c r="A1" t="str">
        <v/>
      </c>
      <c r="B1" t="str">
        <v>Textbook: New Effective Learning</v>
      </c>
      <c r="C1" t="str">
        <v>Textbook: New Effective Learning</v>
      </c>
      <c r="D1" t="str">
        <v>Textbook: Mathematics in Focus</v>
      </c>
      <c r="E1" t="str">
        <v>Textbook: Mathematics in Focus</v>
      </c>
      <c r="F1" t="str">
        <v>Textbook: Maths Smart</v>
      </c>
      <c r="G1" t="str">
        <v>Textbook: Maths Smart</v>
      </c>
      <c r="H1" t="str">
        <v>Textbook: Inspiring Journey</v>
      </c>
      <c r="I1" t="str">
        <v>Textbook: Inspiring Journey</v>
      </c>
      <c r="J1" t="str">
        <v>Textbook: Modern Secondary Mathematics</v>
      </c>
      <c r="K1" t="str">
        <v>Textbook: Modern Secondary Mathematics</v>
      </c>
      <c r="L1" t="str">
        <v>Textbook: New Century</v>
      </c>
      <c r="M1" t="str">
        <v>Textbook: New Century</v>
      </c>
      <c r="N1" t="str">
        <v>Textbook: Maths in Action</v>
      </c>
      <c r="O1" t="str">
        <v>Textbook: Maths in Action</v>
      </c>
      <c r="P1" t="str">
        <v>Basic Concept</v>
      </c>
      <c r="Q1" t="str">
        <v>Chapter Diagnosis</v>
      </c>
      <c r="R1" t="str">
        <v>Date</v>
      </c>
      <c r="S1" t="str">
        <v>Exam Type Questions(MC)</v>
      </c>
      <c r="T1" t="str">
        <v>Date</v>
      </c>
      <c r="U1" t="str">
        <v>Exam Type Questions(LQ)</v>
      </c>
      <c r="V1" t="str">
        <v>Date</v>
      </c>
      <c r="W1" t="str">
        <v>Remarks</v>
      </c>
    </row>
    <row r="2">
      <c r="A2" t="str">
        <v>F.2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>Approximation and Errors</v>
      </c>
      <c r="M2" t="str">
        <v>近似與誤差</v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>Identities</v>
      </c>
      <c r="M3" t="str">
        <v>恆等式</v>
      </c>
      <c r="N3" t="str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>
        <v/>
      </c>
      <c r="V3" t="str">
        <v/>
      </c>
      <c r="W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>Factorization of Polynomials</v>
      </c>
      <c r="M4" t="str">
        <v>因式分解</v>
      </c>
      <c r="N4" t="str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  <c r="U4" t="str">
        <v/>
      </c>
      <c r="V4" t="str">
        <v/>
      </c>
      <c r="W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>Algebraic Fraction and Formulae</v>
      </c>
      <c r="M5" t="str">
        <v>代數分式與公式</v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>
        <v/>
      </c>
      <c r="V5" t="str">
        <v/>
      </c>
      <c r="W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>Linear Equation in Two Unknowns</v>
      </c>
      <c r="M6" t="str">
        <v>二元一次方程</v>
      </c>
      <c r="N6" t="str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>
        <v/>
      </c>
      <c r="V6" t="str">
        <v/>
      </c>
      <c r="W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>More about Statistics Diagram</v>
      </c>
      <c r="M7" t="str">
        <v>續統計圖表</v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>
        <v/>
      </c>
      <c r="V7" t="str">
        <v/>
      </c>
      <c r="W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>Rate and Ratio</v>
      </c>
      <c r="M8" t="str">
        <v>率及比</v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>Angles in Triangle and Polygons</v>
      </c>
      <c r="M9" t="str">
        <v>三角形及多邊形的角</v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>Introduction to Deductive Geometry</v>
      </c>
      <c r="M10" t="str">
        <v>演繹幾何簡介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  <c r="V10" t="str">
        <v/>
      </c>
      <c r="W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>Pythagoras' Theorm and Square Root</v>
      </c>
      <c r="M11" t="str">
        <v>畢氏定理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>
        <v/>
      </c>
      <c r="V11" t="str">
        <v/>
      </c>
      <c r="W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>Trigonometric Ratios</v>
      </c>
      <c r="M12" t="str">
        <v>三角比的基本知識</v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>
        <v/>
      </c>
      <c r="V12" t="str">
        <v/>
      </c>
      <c r="W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>Area and Volume(II)</v>
      </c>
      <c r="M13" t="str">
        <v>面積和體積 (二)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>
        <v/>
      </c>
      <c r="V13" t="str">
        <v/>
      </c>
      <c r="W13" t="str">
        <v/>
      </c>
    </row>
    <row r="14">
      <c r="A14" t="str">
        <v>Remedial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>Still need improvement about the concept</v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</row>
    <row r="15">
      <c r="A15" t="str">
        <v xml:space="preserve">Good 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>Quite Familier with the chapter</v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</row>
    <row r="16">
      <c r="A16" t="str">
        <v>Mastered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>Mastered most of the question types and concept</v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>
        <v/>
      </c>
      <c r="V16" t="str">
        <v/>
      </c>
      <c r="W16" t="str">
        <v/>
      </c>
    </row>
  </sheetData>
  <ignoredErrors>
    <ignoredError numberStoredAsText="1" sqref="A1:W1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16"/>
  <sheetViews>
    <sheetView workbookViewId="0" rightToLeft="0"/>
  </sheetViews>
  <sheetData>
    <row r="1">
      <c r="A1" t="str">
        <v/>
      </c>
      <c r="B1" t="str">
        <v>Textbook: New Effective Learning</v>
      </c>
      <c r="C1" t="str">
        <v>Textbook: New Effective Learning</v>
      </c>
      <c r="D1" t="str">
        <v>Textbook: Mathematics in Focus</v>
      </c>
      <c r="E1" t="str">
        <v>Textbook: Mathematics in Focus</v>
      </c>
      <c r="F1" t="str">
        <v>Textbook: Maths Smart</v>
      </c>
      <c r="G1" t="str">
        <v>Textbook: Maths Smart</v>
      </c>
      <c r="H1" t="str">
        <v>Textbook: Inspiring Journey</v>
      </c>
      <c r="I1" t="str">
        <v>Textbook: Inspiring Journey</v>
      </c>
      <c r="J1" t="str">
        <v>Textbook: Modern Secondary Mathematics</v>
      </c>
      <c r="K1" t="str">
        <v>Textbook: Modern Secondary Mathematics</v>
      </c>
      <c r="L1" t="str">
        <v>Textbook: New Century</v>
      </c>
      <c r="M1" t="str">
        <v>Textbook: New Century</v>
      </c>
      <c r="N1" t="str">
        <v>Textbook: Maths in Action</v>
      </c>
      <c r="O1" t="str">
        <v>Textbook: Maths in Action</v>
      </c>
      <c r="P1" t="str">
        <v>Basic Concept</v>
      </c>
      <c r="Q1" t="str">
        <v>Chapter Diagnosis</v>
      </c>
      <c r="R1" t="str">
        <v>Date</v>
      </c>
      <c r="S1" t="str">
        <v>Exam Type Questions(MC)</v>
      </c>
      <c r="T1" t="str">
        <v>Date</v>
      </c>
      <c r="U1" t="str">
        <v>Exam Type Questions(LQ)</v>
      </c>
      <c r="V1" t="str">
        <v>Date</v>
      </c>
      <c r="W1" t="str">
        <v>Remarks</v>
      </c>
    </row>
    <row r="2">
      <c r="A2" t="str">
        <v>F.3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>More about Factorization of Polynomials</v>
      </c>
      <c r="M2" t="str">
        <v>續多項式的因式分解</v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>Laws of Indices</v>
      </c>
      <c r="M3" t="str">
        <v>指數定律</v>
      </c>
      <c r="N3" t="str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>
        <v/>
      </c>
      <c r="V3" t="str">
        <v/>
      </c>
      <c r="W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>Percentage(II)</v>
      </c>
      <c r="M4" t="str">
        <v>百分法 (二)</v>
      </c>
      <c r="N4" t="str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  <c r="U4" t="str">
        <v/>
      </c>
      <c r="V4" t="str">
        <v/>
      </c>
      <c r="W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>Linear Inequalities in One Unknown</v>
      </c>
      <c r="M5" t="str">
        <v>一元一次不等式</v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>
        <v/>
      </c>
      <c r="V5" t="str">
        <v/>
      </c>
      <c r="W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>Measures of Central Tendency</v>
      </c>
      <c r="M6" t="str">
        <v>集中趨勢的量度</v>
      </c>
      <c r="N6" t="str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>
        <v/>
      </c>
      <c r="V6" t="str">
        <v/>
      </c>
      <c r="W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>Deductive Geometry(II)</v>
      </c>
      <c r="M7" t="str">
        <v>演繹幾何簡介 (二)</v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>
        <v/>
      </c>
      <c r="V7" t="str">
        <v/>
      </c>
      <c r="W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>Quadrilaterals</v>
      </c>
      <c r="M8" t="str">
        <v>四邊形</v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>More about 3D-Figures</v>
      </c>
      <c r="M9" t="str">
        <v>續立體圖形</v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>Area and Volume(III)</v>
      </c>
      <c r="M10" t="str">
        <v>面積和體積 (三)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  <c r="V10" t="str">
        <v/>
      </c>
      <c r="W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>Applications of Trigonometry</v>
      </c>
      <c r="M11" t="str">
        <v>三角比的應用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>
        <v/>
      </c>
      <c r="V11" t="str">
        <v/>
      </c>
      <c r="W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>Coordinate Geometry of Straight Lines</v>
      </c>
      <c r="M12" t="str">
        <v>直線的坐標幾何</v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>
        <v/>
      </c>
      <c r="V12" t="str">
        <v/>
      </c>
      <c r="W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>Introduction to Probability</v>
      </c>
      <c r="M13" t="str">
        <v>概率簡介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>
        <v/>
      </c>
      <c r="V13" t="str">
        <v/>
      </c>
      <c r="W13" t="str">
        <v/>
      </c>
    </row>
    <row r="14">
      <c r="A14" t="str">
        <v>Remedial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>Still need improvement about the concept</v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</row>
    <row r="15">
      <c r="A15" t="str">
        <v xml:space="preserve">Good 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>Quite Familier with the chapter</v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</row>
    <row r="16">
      <c r="A16" t="str">
        <v>Mastered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>Mastered most of the question types and concept</v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>
        <v/>
      </c>
      <c r="V16" t="str">
        <v/>
      </c>
      <c r="W16" t="str">
        <v/>
      </c>
    </row>
  </sheetData>
  <ignoredErrors>
    <ignoredError numberStoredAsText="1" sqref="A1:W1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O18"/>
  <sheetViews>
    <sheetView workbookViewId="0" rightToLeft="0"/>
  </sheetViews>
  <sheetData>
    <row r="1">
      <c r="A1" t="str">
        <v/>
      </c>
      <c r="B1" t="str">
        <v>Textbook: Effective Learning</v>
      </c>
      <c r="C1" t="str">
        <v>Textbook: Effective Learning</v>
      </c>
      <c r="D1" t="str">
        <v>Textbook: Mathematics in Focus</v>
      </c>
      <c r="E1" t="str">
        <v>Textbook: Mathematics in Focus</v>
      </c>
      <c r="F1" t="str">
        <v>Textbook: Maths Smart</v>
      </c>
      <c r="G1" t="str">
        <v>Textbook: Maths Smart</v>
      </c>
      <c r="H1" t="str">
        <v>Textbook: Mathematics in Focus (2nd)</v>
      </c>
      <c r="I1" t="str">
        <v>Textbook: Mathematics in Focus (2nd)</v>
      </c>
      <c r="J1" t="str">
        <v>Textbook: New Progress in Senior Mathematics</v>
      </c>
      <c r="K1" t="str">
        <v>Textbook: New Progress in Senior Mathematics</v>
      </c>
      <c r="L1" t="str">
        <v>Textbook: Maths Beyond</v>
      </c>
      <c r="M1" t="str">
        <v>Textbook: Maths Beyond</v>
      </c>
      <c r="N1" t="str">
        <v>Textbook: Modern Secondary Mathematics</v>
      </c>
      <c r="O1" t="str">
        <v>Textbook: Modern Secondary Mathematics</v>
      </c>
      <c r="P1" t="str">
        <v>Textbook: New Century Mathematics (2nd Edition)</v>
      </c>
      <c r="Q1" t="str">
        <v>Textbook: New Century Mathematics (2nd Edition)</v>
      </c>
      <c r="R1" t="str">
        <v>Textbook: New Century</v>
      </c>
      <c r="S1" t="str">
        <v>Textbook: New Century</v>
      </c>
      <c r="T1" t="str">
        <v>Textbook: Mastering Mathematics</v>
      </c>
      <c r="U1" t="str">
        <v>Textbook: Mastering Mathematics</v>
      </c>
      <c r="V1" t="str">
        <v>Textbook: Mastering Mathematics (2nd Edition)</v>
      </c>
      <c r="W1" t="str">
        <v>Textbook: Mastering Mathematics (2nd Edition)</v>
      </c>
      <c r="X1" t="str">
        <v>Textbook: Mathematics in Action (2nd Edition)</v>
      </c>
      <c r="Y1" t="str">
        <v>Textbook: Mathematics in Action (2nd Edition)</v>
      </c>
      <c r="Z1" t="str">
        <v>Textbook: Mathematics in Action (3rd)</v>
      </c>
      <c r="AA1" t="str">
        <v>Textbook: Mathematics in Action (3rd)</v>
      </c>
      <c r="AB1" t="str">
        <v>Textbook: Maths Insight</v>
      </c>
      <c r="AC1" t="str">
        <v>Textbook: Maths Insight</v>
      </c>
      <c r="AD1" t="str">
        <v>Basic Concept</v>
      </c>
      <c r="AE1" t="str">
        <v>Chapter Diagnosis</v>
      </c>
      <c r="AF1" t="str">
        <v>Date</v>
      </c>
      <c r="AG1" t="str">
        <v>Road to DSE(MC)</v>
      </c>
      <c r="AH1" t="str">
        <v>Date</v>
      </c>
      <c r="AI1" t="str">
        <v>Road to DSE(LQ)</v>
      </c>
      <c r="AJ1" t="str">
        <v>Date</v>
      </c>
      <c r="AK1" t="str">
        <v>Exam Type Questions(MC)</v>
      </c>
      <c r="AL1" t="str">
        <v>Date</v>
      </c>
      <c r="AM1" t="str">
        <v>Exam Type Questions(LQ)</v>
      </c>
      <c r="AN1" t="str">
        <v>Date</v>
      </c>
      <c r="AO1" t="str">
        <v>Remarks</v>
      </c>
    </row>
    <row r="2">
      <c r="A2" t="str">
        <v>F.4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>Real Numbers and Complex Numbers</v>
      </c>
      <c r="S2" t="str">
        <v>實數與複數</v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  <c r="AN2" t="str">
        <v/>
      </c>
      <c r="AO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  <c r="O3" t="str">
        <v/>
      </c>
      <c r="P3" t="str">
        <v/>
      </c>
      <c r="Q3" t="str">
        <v/>
      </c>
      <c r="R3" t="str">
        <v>Equation of Straight Lines</v>
      </c>
      <c r="S3" t="str">
        <v>直線方程</v>
      </c>
      <c r="T3" t="str">
        <v/>
      </c>
      <c r="U3" t="str">
        <v/>
      </c>
      <c r="V3" t="str">
        <v/>
      </c>
      <c r="W3" t="str">
        <v/>
      </c>
      <c r="X3" t="str">
        <v/>
      </c>
      <c r="Y3" t="str">
        <v/>
      </c>
      <c r="Z3" t="str">
        <v/>
      </c>
      <c r="AA3" t="str">
        <v/>
      </c>
      <c r="AB3" t="str">
        <v/>
      </c>
      <c r="AC3" t="str">
        <v/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  <c r="N4" t="str">
        <v/>
      </c>
      <c r="O4" t="str">
        <v/>
      </c>
      <c r="P4" t="str">
        <v/>
      </c>
      <c r="Q4" t="str">
        <v/>
      </c>
      <c r="R4" t="str">
        <v>Function</v>
      </c>
      <c r="S4" t="str">
        <v>函數</v>
      </c>
      <c r="T4" t="str">
        <v/>
      </c>
      <c r="U4" t="str">
        <v/>
      </c>
      <c r="V4" t="str">
        <v/>
      </c>
      <c r="W4" t="str">
        <v/>
      </c>
      <c r="X4" t="str">
        <v/>
      </c>
      <c r="Y4" t="str">
        <v/>
      </c>
      <c r="Z4" t="str">
        <v/>
      </c>
      <c r="AA4" t="str">
        <v/>
      </c>
      <c r="AB4" t="str">
        <v/>
      </c>
      <c r="AC4" t="str">
        <v/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 t="str">
        <v/>
      </c>
      <c r="P5" t="str">
        <v/>
      </c>
      <c r="Q5" t="str">
        <v/>
      </c>
      <c r="R5" t="str">
        <v>Quadratic Equations I(Solving Quadratic Equations)</v>
      </c>
      <c r="S5" t="str">
        <v>一元二次方程I（解一元二次方程）</v>
      </c>
      <c r="T5" t="str">
        <v/>
      </c>
      <c r="U5" t="str">
        <v/>
      </c>
      <c r="V5" t="str">
        <v/>
      </c>
      <c r="W5" t="str">
        <v/>
      </c>
      <c r="X5" t="str">
        <v/>
      </c>
      <c r="Y5" t="str">
        <v/>
      </c>
      <c r="Z5" t="str">
        <v/>
      </c>
      <c r="AA5" t="str">
        <v/>
      </c>
      <c r="AB5" t="str">
        <v/>
      </c>
      <c r="AC5" t="str">
        <v/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 t="str">
        <v/>
      </c>
      <c r="P6" t="str">
        <v/>
      </c>
      <c r="Q6" t="str">
        <v/>
      </c>
      <c r="R6" t="str">
        <v>Quadratic Equations II(Nature of Roots Relations between Roots &amp; Coefficients)</v>
      </c>
      <c r="S6" t="str">
        <v>一元二次方程II（根與系數的特性）</v>
      </c>
      <c r="T6" t="str">
        <v/>
      </c>
      <c r="U6" t="str">
        <v/>
      </c>
      <c r="V6" t="str">
        <v/>
      </c>
      <c r="W6" t="str">
        <v/>
      </c>
      <c r="X6" t="str">
        <v/>
      </c>
      <c r="Y6" t="str">
        <v/>
      </c>
      <c r="Z6" t="str">
        <v/>
      </c>
      <c r="AA6" t="str">
        <v/>
      </c>
      <c r="AB6" t="str">
        <v/>
      </c>
      <c r="AC6" t="str">
        <v/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 t="str">
        <v/>
      </c>
      <c r="P7" t="str">
        <v/>
      </c>
      <c r="Q7" t="str">
        <v/>
      </c>
      <c r="R7" t="str">
        <v>Quadratic Equations III(Completing Square &amp; Vertex)</v>
      </c>
      <c r="S7" t="str">
        <v>一元二次方程III（配方法及頂點）</v>
      </c>
      <c r="T7" t="str">
        <v/>
      </c>
      <c r="U7" t="str">
        <v/>
      </c>
      <c r="V7" t="str">
        <v/>
      </c>
      <c r="W7" t="str">
        <v/>
      </c>
      <c r="X7" t="str">
        <v/>
      </c>
      <c r="Y7" t="str">
        <v/>
      </c>
      <c r="Z7" t="str">
        <v/>
      </c>
      <c r="AA7" t="str">
        <v/>
      </c>
      <c r="AB7" t="str">
        <v/>
      </c>
      <c r="AC7" t="str">
        <v/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>Exponential Functions</v>
      </c>
      <c r="S8" t="str">
        <v>指數函數</v>
      </c>
      <c r="T8" t="str">
        <v/>
      </c>
      <c r="U8" t="str">
        <v/>
      </c>
      <c r="V8" t="str">
        <v/>
      </c>
      <c r="W8" t="str">
        <v/>
      </c>
      <c r="X8" t="str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>Logarithmic Functions</v>
      </c>
      <c r="S9" t="str">
        <v>對數函數</v>
      </c>
      <c r="T9" t="str">
        <v/>
      </c>
      <c r="U9" t="str">
        <v/>
      </c>
      <c r="V9" t="str">
        <v/>
      </c>
      <c r="W9" t="str">
        <v/>
      </c>
      <c r="X9" t="str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>Polynomials</v>
      </c>
      <c r="S10" t="str">
        <v>多項式</v>
      </c>
      <c r="T10" t="str">
        <v/>
      </c>
      <c r="U10" t="str">
        <v/>
      </c>
      <c r="V10" t="str">
        <v/>
      </c>
      <c r="W10" t="str">
        <v/>
      </c>
      <c r="X10" t="str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t="str">
        <v/>
      </c>
      <c r="O11" t="str">
        <v/>
      </c>
      <c r="P11" t="str">
        <v/>
      </c>
      <c r="Q11" t="str">
        <v/>
      </c>
      <c r="R11" t="str">
        <v>Rational Functions</v>
      </c>
      <c r="S11" t="str">
        <v>有理函數</v>
      </c>
      <c r="T11" t="str">
        <v/>
      </c>
      <c r="U11" t="str">
        <v/>
      </c>
      <c r="V11" t="str">
        <v/>
      </c>
      <c r="W11" t="str">
        <v/>
      </c>
      <c r="X11" t="str">
        <v/>
      </c>
      <c r="Y11" t="str">
        <v/>
      </c>
      <c r="Z11" t="str">
        <v/>
      </c>
      <c r="AA11" t="str">
        <v/>
      </c>
      <c r="AB11" t="str">
        <v/>
      </c>
      <c r="AC11" t="str">
        <v/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 t="str">
        <v/>
      </c>
      <c r="P12" t="str">
        <v/>
      </c>
      <c r="Q12" t="str">
        <v/>
      </c>
      <c r="R12" t="str">
        <v>Variation</v>
      </c>
      <c r="S12" t="str">
        <v>變分</v>
      </c>
      <c r="T12" t="str">
        <v/>
      </c>
      <c r="U12" t="str">
        <v/>
      </c>
      <c r="V12" t="str">
        <v/>
      </c>
      <c r="W12" t="str">
        <v/>
      </c>
      <c r="X12" t="str">
        <v/>
      </c>
      <c r="Y12" t="str">
        <v/>
      </c>
      <c r="Z12" t="str">
        <v/>
      </c>
      <c r="AA12" t="str">
        <v/>
      </c>
      <c r="AB12" t="str">
        <v/>
      </c>
      <c r="AC12" t="str">
        <v/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 t="str">
        <v/>
      </c>
      <c r="P13" t="str">
        <v/>
      </c>
      <c r="Q13" t="str">
        <v/>
      </c>
      <c r="R13" t="str">
        <v>Properties of Circles</v>
      </c>
      <c r="S13" t="str">
        <v>圓的性質</v>
      </c>
      <c r="T13" t="str">
        <v/>
      </c>
      <c r="U13" t="str">
        <v/>
      </c>
      <c r="V13" t="str">
        <v/>
      </c>
      <c r="W13" t="str">
        <v/>
      </c>
      <c r="X13" t="str">
        <v/>
      </c>
      <c r="Y13" t="str">
        <v/>
      </c>
      <c r="Z13" t="str">
        <v/>
      </c>
      <c r="AA13" t="str">
        <v/>
      </c>
      <c r="AB13" t="str">
        <v/>
      </c>
      <c r="AC13" t="str">
        <v/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>Basic Trigonometry</v>
      </c>
      <c r="S14" t="str">
        <v xml:space="preserve"> 基本三角學</v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>2D Trigonometry</v>
      </c>
      <c r="S15" t="str">
        <v>2D 三角學</v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</row>
    <row r="16">
      <c r="A16" t="str">
        <v>Remedial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>Still need improvement about the concept</v>
      </c>
      <c r="S16" t="str">
        <v/>
      </c>
      <c r="T16" t="str">
        <v/>
      </c>
      <c r="U16" t="str">
        <v/>
      </c>
      <c r="V16" t="str">
        <v/>
      </c>
      <c r="W16" t="str">
        <v/>
      </c>
      <c r="X16" t="str">
        <v/>
      </c>
      <c r="Y16" t="str">
        <v/>
      </c>
      <c r="Z16" t="str">
        <v/>
      </c>
      <c r="AA16" t="str">
        <v/>
      </c>
      <c r="AB16" t="str">
        <v/>
      </c>
      <c r="AC16" t="str">
        <v/>
      </c>
      <c r="AD16" t="str">
        <v/>
      </c>
      <c r="AE16" t="str">
        <v/>
      </c>
      <c r="AF16" t="str">
        <v/>
      </c>
      <c r="AG16" t="str">
        <v/>
      </c>
      <c r="AH16" t="str">
        <v/>
      </c>
      <c r="AI16" t="str">
        <v/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</row>
    <row r="17">
      <c r="A17" t="str">
        <v xml:space="preserve">Good </v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  <c r="M17" t="str">
        <v/>
      </c>
      <c r="N17" t="str">
        <v/>
      </c>
      <c r="O17" t="str">
        <v/>
      </c>
      <c r="P17" t="str">
        <v/>
      </c>
      <c r="Q17" t="str">
        <v/>
      </c>
      <c r="R17" t="str">
        <v>Quite Familier with the chapter</v>
      </c>
      <c r="S17" t="str">
        <v/>
      </c>
      <c r="T17" t="str">
        <v/>
      </c>
      <c r="U17" t="str">
        <v/>
      </c>
      <c r="V17" t="str">
        <v/>
      </c>
      <c r="W17" t="str">
        <v/>
      </c>
      <c r="X17" t="str">
        <v/>
      </c>
      <c r="Y17" t="str">
        <v/>
      </c>
      <c r="Z17" t="str">
        <v/>
      </c>
      <c r="AA17" t="str">
        <v/>
      </c>
      <c r="AB17" t="str">
        <v/>
      </c>
      <c r="AC17" t="str">
        <v/>
      </c>
      <c r="AD17" t="str">
        <v/>
      </c>
      <c r="AE17" t="str">
        <v/>
      </c>
      <c r="AF17" t="str">
        <v/>
      </c>
      <c r="AG17" t="str">
        <v/>
      </c>
      <c r="AH17" t="str">
        <v/>
      </c>
      <c r="AI17" t="str">
        <v/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</row>
    <row r="18">
      <c r="A18" t="str">
        <v>Mastered</v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>
        <v/>
      </c>
      <c r="N18" t="str">
        <v/>
      </c>
      <c r="O18" t="str">
        <v/>
      </c>
      <c r="P18" t="str">
        <v/>
      </c>
      <c r="Q18" t="str">
        <v/>
      </c>
      <c r="R18" t="str">
        <v>Mastered most of the question types and concept</v>
      </c>
      <c r="S18" t="str">
        <v/>
      </c>
      <c r="T18" t="str">
        <v/>
      </c>
      <c r="U18" t="str">
        <v/>
      </c>
      <c r="V18" t="str">
        <v/>
      </c>
      <c r="W18" t="str">
        <v/>
      </c>
      <c r="X18" t="str">
        <v/>
      </c>
      <c r="Y18" t="str">
        <v/>
      </c>
      <c r="Z18" t="str">
        <v/>
      </c>
      <c r="AA18" t="str">
        <v/>
      </c>
      <c r="AB18" t="str">
        <v/>
      </c>
      <c r="AC18" t="str">
        <v/>
      </c>
      <c r="AD18" t="str">
        <v/>
      </c>
      <c r="AE18" t="str">
        <v/>
      </c>
      <c r="AF18" t="str">
        <v/>
      </c>
      <c r="AG18" t="str">
        <v/>
      </c>
      <c r="AH18" t="str">
        <v/>
      </c>
      <c r="AI18" t="str">
        <v/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</row>
  </sheetData>
  <ignoredErrors>
    <ignoredError numberStoredAsText="1" sqref="A1:AO1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O15"/>
  <sheetViews>
    <sheetView workbookViewId="0" rightToLeft="0"/>
  </sheetViews>
  <sheetData>
    <row r="1">
      <c r="A1" t="str">
        <v/>
      </c>
      <c r="B1" t="str">
        <v>Textbook: Effective Learning</v>
      </c>
      <c r="C1" t="str">
        <v>Textbook: Effective Learning</v>
      </c>
      <c r="D1" t="str">
        <v>Textbook: Mathematics in Focus</v>
      </c>
      <c r="E1" t="str">
        <v>Textbook: Mathematics in Focus</v>
      </c>
      <c r="F1" t="str">
        <v>Textbook: Maths Smart</v>
      </c>
      <c r="G1" t="str">
        <v>Textbook: Maths Smart</v>
      </c>
      <c r="H1" t="str">
        <v>Textbook: Mathematics in Focus (2nd)</v>
      </c>
      <c r="I1" t="str">
        <v>Textbook: Mathematics in Focus (2nd)</v>
      </c>
      <c r="J1" t="str">
        <v>Textbook: New Progress in Senior Mathematics</v>
      </c>
      <c r="K1" t="str">
        <v>Textbook: New Progress in Senior Mathematics</v>
      </c>
      <c r="L1" t="str">
        <v>Textbook: Maths Beyond</v>
      </c>
      <c r="M1" t="str">
        <v>Textbook: Maths Beyond</v>
      </c>
      <c r="N1" t="str">
        <v>Textbook: Modern Secondary Mathematics</v>
      </c>
      <c r="O1" t="str">
        <v>Textbook: Modern Secondary Mathematics</v>
      </c>
      <c r="P1" t="str">
        <v>Textbook: New Century Mathematics (2nd Edition)</v>
      </c>
      <c r="Q1" t="str">
        <v>Textbook: New Century Mathematics (2nd Edition)</v>
      </c>
      <c r="R1" t="str">
        <v>Textbook: New Century</v>
      </c>
      <c r="S1" t="str">
        <v>Textbook: New Century</v>
      </c>
      <c r="T1" t="str">
        <v>Textbook: Mastering Mathematics</v>
      </c>
      <c r="U1" t="str">
        <v>Textbook: Mastering Mathematics</v>
      </c>
      <c r="V1" t="str">
        <v>Textbook: Mastering Mathematics (2nd Edition)</v>
      </c>
      <c r="W1" t="str">
        <v>Textbook: Mastering Mathematics (2nd Edition)</v>
      </c>
      <c r="X1" t="str">
        <v>Textbook: Mathematics in Action (2nd Edition)</v>
      </c>
      <c r="Y1" t="str">
        <v>Textbook: Mathematics in Action (2nd Edition)</v>
      </c>
      <c r="Z1" t="str">
        <v>Textbook: Mathematics in Action (3rd)</v>
      </c>
      <c r="AA1" t="str">
        <v>Textbook: Mathematics in Action (3rd)</v>
      </c>
      <c r="AB1" t="str">
        <v>Textbook: Maths Insight</v>
      </c>
      <c r="AC1" t="str">
        <v>Textbook: Maths Insight</v>
      </c>
      <c r="AD1" t="str">
        <v>Basic Concept</v>
      </c>
      <c r="AE1" t="str">
        <v>Chapter Diagnosis</v>
      </c>
      <c r="AF1" t="str">
        <v>Date</v>
      </c>
      <c r="AG1" t="str">
        <v>Road to DSE(MC)</v>
      </c>
      <c r="AH1" t="str">
        <v>Date</v>
      </c>
      <c r="AI1" t="str">
        <v>Road to DSE(LQ)</v>
      </c>
      <c r="AJ1" t="str">
        <v>Date</v>
      </c>
      <c r="AK1" t="str">
        <v>Exam Type Questions(MC)</v>
      </c>
      <c r="AL1" t="str">
        <v>Date</v>
      </c>
      <c r="AM1" t="str">
        <v>Exam Type Questions(LQ)</v>
      </c>
      <c r="AN1" t="str">
        <v>Date</v>
      </c>
      <c r="AO1" t="str">
        <v>Remarks</v>
      </c>
    </row>
    <row r="2">
      <c r="A2" t="str">
        <v>F.5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>More about Equations</v>
      </c>
      <c r="S2" t="str">
        <v>續方程</v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  <c r="AN2" t="str">
        <v/>
      </c>
      <c r="AO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  <c r="O3" t="str">
        <v/>
      </c>
      <c r="P3" t="str">
        <v/>
      </c>
      <c r="Q3" t="str">
        <v/>
      </c>
      <c r="R3" t="str">
        <v>Inequality</v>
      </c>
      <c r="S3" t="str">
        <v>不等式</v>
      </c>
      <c r="T3" t="str">
        <v/>
      </c>
      <c r="U3" t="str">
        <v/>
      </c>
      <c r="V3" t="str">
        <v/>
      </c>
      <c r="W3" t="str">
        <v/>
      </c>
      <c r="X3" t="str">
        <v/>
      </c>
      <c r="Y3" t="str">
        <v/>
      </c>
      <c r="Z3" t="str">
        <v/>
      </c>
      <c r="AA3" t="str">
        <v/>
      </c>
      <c r="AB3" t="str">
        <v/>
      </c>
      <c r="AC3" t="str">
        <v/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  <c r="N4" t="str">
        <v/>
      </c>
      <c r="O4" t="str">
        <v/>
      </c>
      <c r="P4" t="str">
        <v/>
      </c>
      <c r="Q4" t="str">
        <v/>
      </c>
      <c r="R4" t="str">
        <v>Equation of Circles</v>
      </c>
      <c r="S4" t="str">
        <v>圓的方程</v>
      </c>
      <c r="T4" t="str">
        <v/>
      </c>
      <c r="U4" t="str">
        <v/>
      </c>
      <c r="V4" t="str">
        <v/>
      </c>
      <c r="W4" t="str">
        <v/>
      </c>
      <c r="X4" t="str">
        <v/>
      </c>
      <c r="Y4" t="str">
        <v/>
      </c>
      <c r="Z4" t="str">
        <v/>
      </c>
      <c r="AA4" t="str">
        <v/>
      </c>
      <c r="AB4" t="str">
        <v/>
      </c>
      <c r="AC4" t="str">
        <v/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 t="str">
        <v/>
      </c>
      <c r="P5" t="str">
        <v/>
      </c>
      <c r="Q5" t="str">
        <v/>
      </c>
      <c r="R5" t="str">
        <v>Locus</v>
      </c>
      <c r="S5" t="str">
        <v>軌跡</v>
      </c>
      <c r="T5" t="str">
        <v/>
      </c>
      <c r="U5" t="str">
        <v/>
      </c>
      <c r="V5" t="str">
        <v/>
      </c>
      <c r="W5" t="str">
        <v/>
      </c>
      <c r="X5" t="str">
        <v/>
      </c>
      <c r="Y5" t="str">
        <v/>
      </c>
      <c r="Z5" t="str">
        <v/>
      </c>
      <c r="AA5" t="str">
        <v/>
      </c>
      <c r="AB5" t="str">
        <v/>
      </c>
      <c r="AC5" t="str">
        <v/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 t="str">
        <v/>
      </c>
      <c r="P6" t="str">
        <v/>
      </c>
      <c r="Q6" t="str">
        <v/>
      </c>
      <c r="R6" t="str">
        <v>Permutation &amp; Combination</v>
      </c>
      <c r="S6" t="str">
        <v>排列與組合</v>
      </c>
      <c r="T6" t="str">
        <v/>
      </c>
      <c r="U6" t="str">
        <v/>
      </c>
      <c r="V6" t="str">
        <v/>
      </c>
      <c r="W6" t="str">
        <v/>
      </c>
      <c r="X6" t="str">
        <v/>
      </c>
      <c r="Y6" t="str">
        <v/>
      </c>
      <c r="Z6" t="str">
        <v/>
      </c>
      <c r="AA6" t="str">
        <v/>
      </c>
      <c r="AB6" t="str">
        <v/>
      </c>
      <c r="AC6" t="str">
        <v/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 t="str">
        <v/>
      </c>
      <c r="P7" t="str">
        <v/>
      </c>
      <c r="Q7" t="str">
        <v/>
      </c>
      <c r="R7" t="str">
        <v>Probability</v>
      </c>
      <c r="S7" t="str">
        <v>概率</v>
      </c>
      <c r="T7" t="str">
        <v/>
      </c>
      <c r="U7" t="str">
        <v/>
      </c>
      <c r="V7" t="str">
        <v/>
      </c>
      <c r="W7" t="str">
        <v/>
      </c>
      <c r="X7" t="str">
        <v/>
      </c>
      <c r="Y7" t="str">
        <v/>
      </c>
      <c r="Z7" t="str">
        <v/>
      </c>
      <c r="AA7" t="str">
        <v/>
      </c>
      <c r="AB7" t="str">
        <v/>
      </c>
      <c r="AC7" t="str">
        <v/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>Transformation of Graph</v>
      </c>
      <c r="S8" t="str">
        <v>圖的變換</v>
      </c>
      <c r="T8" t="str">
        <v/>
      </c>
      <c r="U8" t="str">
        <v/>
      </c>
      <c r="V8" t="str">
        <v/>
      </c>
      <c r="W8" t="str">
        <v/>
      </c>
      <c r="X8" t="str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>Statistics</v>
      </c>
      <c r="S9" t="str">
        <v>統計學</v>
      </c>
      <c r="T9" t="str">
        <v/>
      </c>
      <c r="U9" t="str">
        <v/>
      </c>
      <c r="V9" t="str">
        <v/>
      </c>
      <c r="W9" t="str">
        <v/>
      </c>
      <c r="X9" t="str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>Linear Programming</v>
      </c>
      <c r="S10" t="str">
        <v>線性規劃</v>
      </c>
      <c r="T10" t="str">
        <v/>
      </c>
      <c r="U10" t="str">
        <v/>
      </c>
      <c r="V10" t="str">
        <v/>
      </c>
      <c r="W10" t="str">
        <v/>
      </c>
      <c r="X10" t="str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t="str">
        <v/>
      </c>
      <c r="O11" t="str">
        <v/>
      </c>
      <c r="P11" t="str">
        <v/>
      </c>
      <c r="Q11" t="str">
        <v/>
      </c>
      <c r="R11" t="str">
        <v>Arithmetic and Geometric Sequence</v>
      </c>
      <c r="S11" t="str">
        <v>等差/等比序列</v>
      </c>
      <c r="T11" t="str">
        <v/>
      </c>
      <c r="U11" t="str">
        <v/>
      </c>
      <c r="V11" t="str">
        <v/>
      </c>
      <c r="W11" t="str">
        <v/>
      </c>
      <c r="X11" t="str">
        <v/>
      </c>
      <c r="Y11" t="str">
        <v/>
      </c>
      <c r="Z11" t="str">
        <v/>
      </c>
      <c r="AA11" t="str">
        <v/>
      </c>
      <c r="AB11" t="str">
        <v/>
      </c>
      <c r="AC11" t="str">
        <v/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 t="str">
        <v/>
      </c>
      <c r="P12" t="str">
        <v/>
      </c>
      <c r="Q12" t="str">
        <v/>
      </c>
      <c r="R12" t="str">
        <v>3D Trigonometry</v>
      </c>
      <c r="S12" t="str">
        <v>3D 三角學</v>
      </c>
      <c r="T12" t="str">
        <v/>
      </c>
      <c r="U12" t="str">
        <v/>
      </c>
      <c r="V12" t="str">
        <v/>
      </c>
      <c r="W12" t="str">
        <v/>
      </c>
      <c r="X12" t="str">
        <v/>
      </c>
      <c r="Y12" t="str">
        <v/>
      </c>
      <c r="Z12" t="str">
        <v/>
      </c>
      <c r="AA12" t="str">
        <v/>
      </c>
      <c r="AB12" t="str">
        <v/>
      </c>
      <c r="AC12" t="str">
        <v/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</row>
    <row r="13">
      <c r="A13" t="str">
        <v>Remedial</v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 t="str">
        <v/>
      </c>
      <c r="P13" t="str">
        <v/>
      </c>
      <c r="Q13" t="str">
        <v/>
      </c>
      <c r="R13" t="str">
        <v>Still need improvement about the concept</v>
      </c>
      <c r="S13" t="str">
        <v/>
      </c>
      <c r="T13" t="str">
        <v/>
      </c>
      <c r="U13" t="str">
        <v/>
      </c>
      <c r="V13" t="str">
        <v/>
      </c>
      <c r="W13" t="str">
        <v/>
      </c>
      <c r="X13" t="str">
        <v/>
      </c>
      <c r="Y13" t="str">
        <v/>
      </c>
      <c r="Z13" t="str">
        <v/>
      </c>
      <c r="AA13" t="str">
        <v/>
      </c>
      <c r="AB13" t="str">
        <v/>
      </c>
      <c r="AC13" t="str">
        <v/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</row>
    <row r="14">
      <c r="A14" t="str">
        <v xml:space="preserve">Good 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>Quite Familier with the chapter</v>
      </c>
      <c r="S14" t="str">
        <v/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</row>
    <row r="15">
      <c r="A15" t="str">
        <v>Mastered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>Mastered most of the question types and concept</v>
      </c>
      <c r="S15" t="str">
        <v/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</row>
  </sheetData>
  <ignoredErrors>
    <ignoredError numberStoredAsText="1" sqref="A1:AO1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M25"/>
  <sheetViews>
    <sheetView workbookViewId="0" rightToLeft="0"/>
  </sheetViews>
  <sheetData>
    <row r="1">
      <c r="A1" t="str">
        <v/>
      </c>
      <c r="B1" t="str">
        <v>Textbook: Effective Learning</v>
      </c>
      <c r="C1" t="str">
        <v>Textbook: Effective Learning</v>
      </c>
      <c r="D1" t="str">
        <v>Textbook: Mathematics in Focus</v>
      </c>
      <c r="E1" t="str">
        <v>Textbook: Mathematics in Focus</v>
      </c>
      <c r="F1" t="str">
        <v>Textbook: Maths Smart</v>
      </c>
      <c r="G1" t="str">
        <v>Textbook: Maths Smart</v>
      </c>
      <c r="H1" t="str">
        <v>Textbook: Mathematics in Focus (2nd)</v>
      </c>
      <c r="I1" t="str">
        <v>Textbook: Mathematics in Focus (2nd)</v>
      </c>
      <c r="J1" t="str">
        <v>Textbook: New Progress in Senior Mathematics</v>
      </c>
      <c r="K1" t="str">
        <v>Textbook: New Progress in Senior Mathematics</v>
      </c>
      <c r="L1" t="str">
        <v>Textbook: Maths Beyond</v>
      </c>
      <c r="M1" t="str">
        <v>Textbook: Maths Beyond</v>
      </c>
      <c r="N1" t="str">
        <v>Textbook: Modern Secondary Mathematics</v>
      </c>
      <c r="O1" t="str">
        <v>Textbook: Modern Secondary Mathematics</v>
      </c>
      <c r="P1" t="str">
        <v>Textbook: New Century Mathematics (2nd Edition)</v>
      </c>
      <c r="Q1" t="str">
        <v>Textbook: New Century Mathematics (2nd Edition)</v>
      </c>
      <c r="R1" t="str">
        <v>Textbook: New Century</v>
      </c>
      <c r="S1" t="str">
        <v>Textbook: New Century</v>
      </c>
      <c r="T1" t="str">
        <v>Textbook: Mastering Mathematics</v>
      </c>
      <c r="U1" t="str">
        <v>Textbook: Mastering Mathematics</v>
      </c>
      <c r="V1" t="str">
        <v>Textbook: Mastering Mathematics (2nd Edition)</v>
      </c>
      <c r="W1" t="str">
        <v>Textbook: Mastering Mathematics (2nd Edition)</v>
      </c>
      <c r="X1" t="str">
        <v>Textbook: Mathematics in Action (2nd Edition)</v>
      </c>
      <c r="Y1" t="str">
        <v>Textbook: Mathematics in Action (2nd Edition)</v>
      </c>
      <c r="Z1" t="str">
        <v>Textbook: Mathematics in Action (3rd)</v>
      </c>
      <c r="AA1" t="str">
        <v>Textbook: Mathematics in Action (3rd)</v>
      </c>
      <c r="AB1" t="str">
        <v>Textbook: Maths Insight</v>
      </c>
      <c r="AC1" t="str">
        <v>Textbook: Maths Insight</v>
      </c>
      <c r="AD1" t="str">
        <v>Basic Concept</v>
      </c>
      <c r="AE1" t="str">
        <v>Road to DSE(MC)</v>
      </c>
      <c r="AF1" t="str">
        <v>Date</v>
      </c>
      <c r="AG1" t="str">
        <v>Road to DSE(LQ)</v>
      </c>
      <c r="AH1" t="str">
        <v>Date</v>
      </c>
      <c r="AI1" t="str">
        <v>Exam Type Questions(MC)</v>
      </c>
      <c r="AJ1" t="str">
        <v>Date</v>
      </c>
      <c r="AK1" t="str">
        <v>Exam Type Questions(LQ)</v>
      </c>
      <c r="AL1" t="str">
        <v>Date</v>
      </c>
      <c r="AM1" t="str">
        <v>Remarks</v>
      </c>
    </row>
    <row r="2">
      <c r="A2" t="str">
        <v>F.6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>Factorization,Basic Equation Solving</v>
      </c>
      <c r="S2" t="str">
        <v>因式分解，基本解方程</v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  <c r="O3" t="str">
        <v/>
      </c>
      <c r="P3" t="str">
        <v/>
      </c>
      <c r="Q3" t="str">
        <v/>
      </c>
      <c r="R3" t="str">
        <v>Percentage</v>
      </c>
      <c r="S3" t="str">
        <v>百分比</v>
      </c>
      <c r="T3" t="str">
        <v/>
      </c>
      <c r="U3" t="str">
        <v/>
      </c>
      <c r="V3" t="str">
        <v/>
      </c>
      <c r="W3" t="str">
        <v/>
      </c>
      <c r="X3" t="str">
        <v/>
      </c>
      <c r="Y3" t="str">
        <v/>
      </c>
      <c r="Z3" t="str">
        <v/>
      </c>
      <c r="AA3" t="str">
        <v/>
      </c>
      <c r="AB3" t="str">
        <v/>
      </c>
      <c r="AC3" t="str">
        <v/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  <c r="N4" t="str">
        <v/>
      </c>
      <c r="O4" t="str">
        <v/>
      </c>
      <c r="P4" t="str">
        <v/>
      </c>
      <c r="Q4" t="str">
        <v/>
      </c>
      <c r="R4" t="str">
        <v>Rate and Ratio</v>
      </c>
      <c r="S4" t="str">
        <v>率與比</v>
      </c>
      <c r="T4" t="str">
        <v/>
      </c>
      <c r="U4" t="str">
        <v/>
      </c>
      <c r="V4" t="str">
        <v/>
      </c>
      <c r="W4" t="str">
        <v/>
      </c>
      <c r="X4" t="str">
        <v/>
      </c>
      <c r="Y4" t="str">
        <v/>
      </c>
      <c r="Z4" t="str">
        <v/>
      </c>
      <c r="AA4" t="str">
        <v/>
      </c>
      <c r="AB4" t="str">
        <v/>
      </c>
      <c r="AC4" t="str">
        <v/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 t="str">
        <v/>
      </c>
      <c r="P5" t="str">
        <v/>
      </c>
      <c r="Q5" t="str">
        <v/>
      </c>
      <c r="R5" t="str">
        <v>Number System, Complex Number, Appro.&amp; Error</v>
      </c>
      <c r="S5" t="str">
        <v>數系進制,複數,估算與誤差</v>
      </c>
      <c r="T5" t="str">
        <v/>
      </c>
      <c r="U5" t="str">
        <v/>
      </c>
      <c r="V5" t="str">
        <v/>
      </c>
      <c r="W5" t="str">
        <v/>
      </c>
      <c r="X5" t="str">
        <v/>
      </c>
      <c r="Y5" t="str">
        <v/>
      </c>
      <c r="Z5" t="str">
        <v/>
      </c>
      <c r="AA5" t="str">
        <v/>
      </c>
      <c r="AB5" t="str">
        <v/>
      </c>
      <c r="AC5" t="str">
        <v/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 t="str">
        <v/>
      </c>
      <c r="P6" t="str">
        <v/>
      </c>
      <c r="Q6" t="str">
        <v/>
      </c>
      <c r="R6" t="str">
        <v>Inequality</v>
      </c>
      <c r="S6" t="str">
        <v>不等式</v>
      </c>
      <c r="T6" t="str">
        <v/>
      </c>
      <c r="U6" t="str">
        <v/>
      </c>
      <c r="V6" t="str">
        <v/>
      </c>
      <c r="W6" t="str">
        <v/>
      </c>
      <c r="X6" t="str">
        <v/>
      </c>
      <c r="Y6" t="str">
        <v/>
      </c>
      <c r="Z6" t="str">
        <v/>
      </c>
      <c r="AA6" t="str">
        <v/>
      </c>
      <c r="AB6" t="str">
        <v/>
      </c>
      <c r="AC6" t="str">
        <v/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 t="str">
        <v/>
      </c>
      <c r="P7" t="str">
        <v/>
      </c>
      <c r="Q7" t="str">
        <v/>
      </c>
      <c r="R7" t="str">
        <v>Mensuration</v>
      </c>
      <c r="S7" t="str">
        <v>求積法</v>
      </c>
      <c r="T7" t="str">
        <v/>
      </c>
      <c r="U7" t="str">
        <v/>
      </c>
      <c r="V7" t="str">
        <v/>
      </c>
      <c r="W7" t="str">
        <v/>
      </c>
      <c r="X7" t="str">
        <v/>
      </c>
      <c r="Y7" t="str">
        <v/>
      </c>
      <c r="Z7" t="str">
        <v/>
      </c>
      <c r="AA7" t="str">
        <v/>
      </c>
      <c r="AB7" t="str">
        <v/>
      </c>
      <c r="AC7" t="str">
        <v/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>Variations</v>
      </c>
      <c r="S8" t="str">
        <v>變分</v>
      </c>
      <c r="T8" t="str">
        <v/>
      </c>
      <c r="U8" t="str">
        <v/>
      </c>
      <c r="V8" t="str">
        <v/>
      </c>
      <c r="W8" t="str">
        <v/>
      </c>
      <c r="X8" t="str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</row>
    <row r="9">
      <c r="A9" t="str">
        <v>LQ A1</v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>More about Polynomials</v>
      </c>
      <c r="S9" t="str">
        <v>續多項式</v>
      </c>
      <c r="T9" t="str">
        <v/>
      </c>
      <c r="U9" t="str">
        <v/>
      </c>
      <c r="V9" t="str">
        <v/>
      </c>
      <c r="W9" t="str">
        <v/>
      </c>
      <c r="X9" t="str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</row>
    <row r="10">
      <c r="A10" t="str">
        <v>LQ A2</v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>Properties of Circle</v>
      </c>
      <c r="S10" t="str">
        <v>圓的性質</v>
      </c>
      <c r="T10" t="str">
        <v/>
      </c>
      <c r="U10" t="str">
        <v/>
      </c>
      <c r="V10" t="str">
        <v/>
      </c>
      <c r="W10" t="str">
        <v/>
      </c>
      <c r="X10" t="str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</row>
    <row r="11">
      <c r="A11" t="str">
        <v>LQ B</v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t="str">
        <v/>
      </c>
      <c r="O11" t="str">
        <v/>
      </c>
      <c r="P11" t="str">
        <v/>
      </c>
      <c r="Q11" t="str">
        <v/>
      </c>
      <c r="R11" t="str">
        <v>Statistics</v>
      </c>
      <c r="S11" t="str">
        <v>統計學</v>
      </c>
      <c r="T11" t="str">
        <v/>
      </c>
      <c r="U11" t="str">
        <v/>
      </c>
      <c r="V11" t="str">
        <v/>
      </c>
      <c r="W11" t="str">
        <v/>
      </c>
      <c r="X11" t="str">
        <v/>
      </c>
      <c r="Y11" t="str">
        <v/>
      </c>
      <c r="Z11" t="str">
        <v/>
      </c>
      <c r="AA11" t="str">
        <v/>
      </c>
      <c r="AB11" t="str">
        <v/>
      </c>
      <c r="AC11" t="str">
        <v/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</row>
    <row r="12">
      <c r="A12" t="str">
        <v>LQ A2 B</v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 t="str">
        <v/>
      </c>
      <c r="P12" t="str">
        <v/>
      </c>
      <c r="Q12" t="str">
        <v/>
      </c>
      <c r="R12" t="str">
        <v>Geometry</v>
      </c>
      <c r="S12" t="str">
        <v>幾何</v>
      </c>
      <c r="T12" t="str">
        <v/>
      </c>
      <c r="U12" t="str">
        <v/>
      </c>
      <c r="V12" t="str">
        <v/>
      </c>
      <c r="W12" t="str">
        <v/>
      </c>
      <c r="X12" t="str">
        <v/>
      </c>
      <c r="Y12" t="str">
        <v/>
      </c>
      <c r="Z12" t="str">
        <v/>
      </c>
      <c r="AA12" t="str">
        <v/>
      </c>
      <c r="AB12" t="str">
        <v/>
      </c>
      <c r="AC12" t="str">
        <v/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 t="str">
        <v/>
      </c>
      <c r="P13" t="str">
        <v/>
      </c>
      <c r="Q13" t="str">
        <v/>
      </c>
      <c r="R13" t="str">
        <v>Exponendral and Logarithmise</v>
      </c>
      <c r="S13" t="str">
        <v>指數及對數函數</v>
      </c>
      <c r="T13" t="str">
        <v/>
      </c>
      <c r="U13" t="str">
        <v/>
      </c>
      <c r="V13" t="str">
        <v/>
      </c>
      <c r="W13" t="str">
        <v/>
      </c>
      <c r="X13" t="str">
        <v/>
      </c>
      <c r="Y13" t="str">
        <v/>
      </c>
      <c r="Z13" t="str">
        <v/>
      </c>
      <c r="AA13" t="str">
        <v/>
      </c>
      <c r="AB13" t="str">
        <v/>
      </c>
      <c r="AC13" t="str">
        <v/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>Permutation, Combination, Probability</v>
      </c>
      <c r="S14" t="str">
        <v>排列，組合，概率</v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  <c r="AM14" t="str">
        <v/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>Coordinate Geometry</v>
      </c>
      <c r="S15" t="str">
        <v>座標幾何</v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  <c r="AM15" t="str">
        <v/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>Quadratic Equations</v>
      </c>
      <c r="S16" t="str">
        <v>一元二次方程</v>
      </c>
      <c r="T16" t="str">
        <v/>
      </c>
      <c r="U16" t="str">
        <v/>
      </c>
      <c r="V16" t="str">
        <v/>
      </c>
      <c r="W16" t="str">
        <v/>
      </c>
      <c r="X16" t="str">
        <v/>
      </c>
      <c r="Y16" t="str">
        <v/>
      </c>
      <c r="Z16" t="str">
        <v/>
      </c>
      <c r="AA16" t="str">
        <v/>
      </c>
      <c r="AB16" t="str">
        <v/>
      </c>
      <c r="AC16" t="str">
        <v/>
      </c>
      <c r="AD16" t="str">
        <v/>
      </c>
      <c r="AE16" t="str">
        <v/>
      </c>
      <c r="AF16" t="str">
        <v/>
      </c>
      <c r="AG16" t="str">
        <v/>
      </c>
      <c r="AH16" t="str">
        <v/>
      </c>
      <c r="AI16" t="str">
        <v/>
      </c>
      <c r="AJ16" t="str">
        <v/>
      </c>
      <c r="AK16" t="str">
        <v/>
      </c>
      <c r="AL16" t="str">
        <v/>
      </c>
      <c r="AM16" t="str">
        <v/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  <c r="M17" t="str">
        <v/>
      </c>
      <c r="N17" t="str">
        <v/>
      </c>
      <c r="O17" t="str">
        <v/>
      </c>
      <c r="P17" t="str">
        <v/>
      </c>
      <c r="Q17" t="str">
        <v/>
      </c>
      <c r="R17" t="str">
        <v>Graphs of Functions</v>
      </c>
      <c r="S17" t="str">
        <v>函數圖像</v>
      </c>
      <c r="T17" t="str">
        <v/>
      </c>
      <c r="U17" t="str">
        <v/>
      </c>
      <c r="V17" t="str">
        <v/>
      </c>
      <c r="W17" t="str">
        <v/>
      </c>
      <c r="X17" t="str">
        <v/>
      </c>
      <c r="Y17" t="str">
        <v/>
      </c>
      <c r="Z17" t="str">
        <v/>
      </c>
      <c r="AA17" t="str">
        <v/>
      </c>
      <c r="AB17" t="str">
        <v/>
      </c>
      <c r="AC17" t="str">
        <v/>
      </c>
      <c r="AD17" t="str">
        <v/>
      </c>
      <c r="AE17" t="str">
        <v/>
      </c>
      <c r="AF17" t="str">
        <v/>
      </c>
      <c r="AG17" t="str">
        <v/>
      </c>
      <c r="AH17" t="str">
        <v/>
      </c>
      <c r="AI17" t="str">
        <v/>
      </c>
      <c r="AJ17" t="str">
        <v/>
      </c>
      <c r="AK17" t="str">
        <v/>
      </c>
      <c r="AL17" t="str">
        <v/>
      </c>
      <c r="AM17" t="str">
        <v/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>
        <v/>
      </c>
      <c r="N18" t="str">
        <v/>
      </c>
      <c r="O18" t="str">
        <v/>
      </c>
      <c r="P18" t="str">
        <v/>
      </c>
      <c r="Q18" t="str">
        <v/>
      </c>
      <c r="R18" t="str">
        <v>Linear Programming</v>
      </c>
      <c r="S18" t="str">
        <v>線性規劃</v>
      </c>
      <c r="T18" t="str">
        <v/>
      </c>
      <c r="U18" t="str">
        <v/>
      </c>
      <c r="V18" t="str">
        <v/>
      </c>
      <c r="W18" t="str">
        <v/>
      </c>
      <c r="X18" t="str">
        <v/>
      </c>
      <c r="Y18" t="str">
        <v/>
      </c>
      <c r="Z18" t="str">
        <v/>
      </c>
      <c r="AA18" t="str">
        <v/>
      </c>
      <c r="AB18" t="str">
        <v/>
      </c>
      <c r="AC18" t="str">
        <v/>
      </c>
      <c r="AD18" t="str">
        <v/>
      </c>
      <c r="AE18" t="str">
        <v/>
      </c>
      <c r="AF18" t="str">
        <v/>
      </c>
      <c r="AG18" t="str">
        <v/>
      </c>
      <c r="AH18" t="str">
        <v/>
      </c>
      <c r="AI18" t="str">
        <v/>
      </c>
      <c r="AJ18" t="str">
        <v/>
      </c>
      <c r="AK18" t="str">
        <v/>
      </c>
      <c r="AL18" t="str">
        <v/>
      </c>
      <c r="AM18" t="str">
        <v/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  <c r="M19" t="str">
        <v/>
      </c>
      <c r="N19" t="str">
        <v/>
      </c>
      <c r="O19" t="str">
        <v/>
      </c>
      <c r="P19" t="str">
        <v/>
      </c>
      <c r="Q19" t="str">
        <v/>
      </c>
      <c r="R19" t="str">
        <v>Arithmetic,Geometric Sequence</v>
      </c>
      <c r="S19" t="str">
        <v>等差/等比序列</v>
      </c>
      <c r="T19" t="str">
        <v/>
      </c>
      <c r="U19" t="str">
        <v/>
      </c>
      <c r="V19" t="str">
        <v/>
      </c>
      <c r="W19" t="str">
        <v/>
      </c>
      <c r="X19" t="str">
        <v/>
      </c>
      <c r="Y19" t="str">
        <v/>
      </c>
      <c r="Z19" t="str">
        <v/>
      </c>
      <c r="AA19" t="str">
        <v/>
      </c>
      <c r="AB19" t="str">
        <v/>
      </c>
      <c r="AC19" t="str">
        <v/>
      </c>
      <c r="AD19" t="str">
        <v/>
      </c>
      <c r="AE19" t="str">
        <v/>
      </c>
      <c r="AF19" t="str">
        <v/>
      </c>
      <c r="AG19" t="str">
        <v/>
      </c>
      <c r="AH19" t="str">
        <v/>
      </c>
      <c r="AI19" t="str">
        <v/>
      </c>
      <c r="AJ19" t="str">
        <v/>
      </c>
      <c r="AK19" t="str">
        <v/>
      </c>
      <c r="AL19" t="str">
        <v/>
      </c>
      <c r="AM19" t="str">
        <v/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>3D Trigonometry</v>
      </c>
      <c r="S20" t="str">
        <v>3D 三角學</v>
      </c>
      <c r="T20" t="str">
        <v/>
      </c>
      <c r="U20" t="str">
        <v/>
      </c>
      <c r="V20" t="str">
        <v/>
      </c>
      <c r="W20" t="str">
        <v/>
      </c>
      <c r="X20" t="str">
        <v/>
      </c>
      <c r="Y20" t="str">
        <v/>
      </c>
      <c r="Z20" t="str">
        <v/>
      </c>
      <c r="AA20" t="str">
        <v/>
      </c>
      <c r="AB20" t="str">
        <v/>
      </c>
      <c r="AC20" t="str">
        <v/>
      </c>
      <c r="AD20" t="str">
        <v/>
      </c>
      <c r="AE20" t="str">
        <v/>
      </c>
      <c r="AF20" t="str">
        <v/>
      </c>
      <c r="AG20" t="str">
        <v/>
      </c>
      <c r="AH20" t="str">
        <v/>
      </c>
      <c r="AI20" t="str">
        <v/>
      </c>
      <c r="AJ20" t="str">
        <v/>
      </c>
      <c r="AK20" t="str">
        <v/>
      </c>
      <c r="AL20" t="str">
        <v/>
      </c>
      <c r="AM20" t="str">
        <v/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>Trigonometry</v>
      </c>
      <c r="S21" t="str">
        <v>三角學</v>
      </c>
      <c r="T21" t="str">
        <v/>
      </c>
      <c r="U21" t="str">
        <v/>
      </c>
      <c r="V21" t="str">
        <v/>
      </c>
      <c r="W21" t="str">
        <v/>
      </c>
      <c r="X21" t="str">
        <v/>
      </c>
      <c r="Y21" t="str">
        <v/>
      </c>
      <c r="Z21" t="str">
        <v/>
      </c>
      <c r="AA21" t="str">
        <v/>
      </c>
      <c r="AB21" t="str">
        <v/>
      </c>
      <c r="AC21" t="str">
        <v/>
      </c>
      <c r="AD21" t="str">
        <v/>
      </c>
      <c r="AE21" t="str">
        <v/>
      </c>
      <c r="AF21" t="str">
        <v/>
      </c>
      <c r="AG21" t="str">
        <v/>
      </c>
      <c r="AH21" t="str">
        <v/>
      </c>
      <c r="AI21" t="str">
        <v/>
      </c>
      <c r="AJ21" t="str">
        <v/>
      </c>
      <c r="AK21" t="str">
        <v/>
      </c>
      <c r="AL21" t="str">
        <v/>
      </c>
      <c r="AM21" t="str">
        <v/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  <c r="O22" t="str">
        <v/>
      </c>
      <c r="P22" t="str">
        <v/>
      </c>
      <c r="Q22" t="str">
        <v/>
      </c>
      <c r="R22" t="str">
        <v>(Equation Straight Line)</v>
      </c>
      <c r="S22" t="str">
        <v>(直線方程)</v>
      </c>
      <c r="T22" t="str">
        <v/>
      </c>
      <c r="U22" t="str">
        <v/>
      </c>
      <c r="V22" t="str">
        <v/>
      </c>
      <c r="W22" t="str">
        <v/>
      </c>
      <c r="X22" t="str">
        <v/>
      </c>
      <c r="Y22" t="str">
        <v/>
      </c>
      <c r="Z22" t="str">
        <v/>
      </c>
      <c r="AA22" t="str">
        <v/>
      </c>
      <c r="AB22" t="str">
        <v/>
      </c>
      <c r="AC22" t="str">
        <v/>
      </c>
      <c r="AD22" t="str">
        <v/>
      </c>
      <c r="AE22" t="str">
        <v/>
      </c>
      <c r="AF22" t="str">
        <v/>
      </c>
      <c r="AG22" t="str">
        <v/>
      </c>
      <c r="AH22" t="str">
        <v/>
      </c>
      <c r="AI22" t="str">
        <v/>
      </c>
      <c r="AJ22" t="str">
        <v/>
      </c>
      <c r="AK22" t="str">
        <v/>
      </c>
      <c r="AL22" t="str">
        <v/>
      </c>
      <c r="AM22" t="str">
        <v/>
      </c>
    </row>
    <row r="23">
      <c r="A23" t="str">
        <v>Remedial</v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>
        <v/>
      </c>
      <c r="N23" t="str">
        <v/>
      </c>
      <c r="O23" t="str">
        <v/>
      </c>
      <c r="P23" t="str">
        <v/>
      </c>
      <c r="Q23" t="str">
        <v/>
      </c>
      <c r="R23" t="str">
        <v>Still need improvement about the concept</v>
      </c>
      <c r="S23" t="str">
        <v/>
      </c>
      <c r="T23" t="str">
        <v/>
      </c>
      <c r="U23" t="str">
        <v/>
      </c>
      <c r="V23" t="str">
        <v/>
      </c>
      <c r="W23" t="str">
        <v/>
      </c>
      <c r="X23" t="str">
        <v/>
      </c>
      <c r="Y23" t="str">
        <v/>
      </c>
      <c r="Z23" t="str">
        <v/>
      </c>
      <c r="AA23" t="str">
        <v/>
      </c>
      <c r="AB23" t="str">
        <v/>
      </c>
      <c r="AC23" t="str">
        <v/>
      </c>
      <c r="AD23" t="str">
        <v/>
      </c>
      <c r="AE23" t="str">
        <v/>
      </c>
      <c r="AF23" t="str">
        <v/>
      </c>
      <c r="AG23" t="str">
        <v/>
      </c>
      <c r="AH23" t="str">
        <v/>
      </c>
      <c r="AI23" t="str">
        <v/>
      </c>
      <c r="AJ23" t="str">
        <v/>
      </c>
      <c r="AK23" t="str">
        <v/>
      </c>
      <c r="AL23" t="str">
        <v/>
      </c>
      <c r="AM23" t="str">
        <v/>
      </c>
    </row>
    <row r="24">
      <c r="A24" t="str">
        <v xml:space="preserve">Good </v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>Quite Familier with the chapter</v>
      </c>
      <c r="S24" t="str">
        <v/>
      </c>
      <c r="T24" t="str">
        <v/>
      </c>
      <c r="U24" t="str">
        <v/>
      </c>
      <c r="V24" t="str">
        <v/>
      </c>
      <c r="W24" t="str">
        <v/>
      </c>
      <c r="X24" t="str">
        <v/>
      </c>
      <c r="Y24" t="str">
        <v/>
      </c>
      <c r="Z24" t="str">
        <v/>
      </c>
      <c r="AA24" t="str">
        <v/>
      </c>
      <c r="AB24" t="str">
        <v/>
      </c>
      <c r="AC24" t="str">
        <v/>
      </c>
      <c r="AD24" t="str">
        <v/>
      </c>
      <c r="AE24" t="str">
        <v/>
      </c>
      <c r="AF24" t="str">
        <v/>
      </c>
      <c r="AG24" t="str">
        <v/>
      </c>
      <c r="AH24" t="str">
        <v/>
      </c>
      <c r="AI24" t="str">
        <v/>
      </c>
      <c r="AJ24" t="str">
        <v/>
      </c>
      <c r="AK24" t="str">
        <v/>
      </c>
      <c r="AL24" t="str">
        <v/>
      </c>
      <c r="AM24" t="str">
        <v/>
      </c>
    </row>
    <row r="25">
      <c r="A25" t="str">
        <v>Mastered</v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  <c r="O25" t="str">
        <v/>
      </c>
      <c r="P25" t="str">
        <v/>
      </c>
      <c r="Q25" t="str">
        <v/>
      </c>
      <c r="R25" t="str">
        <v>Mastered most of the question types and concept</v>
      </c>
      <c r="S25" t="str">
        <v/>
      </c>
      <c r="T25" t="str">
        <v/>
      </c>
      <c r="U25" t="str">
        <v/>
      </c>
      <c r="V25" t="str">
        <v/>
      </c>
      <c r="W25" t="str">
        <v/>
      </c>
      <c r="X25" t="str">
        <v/>
      </c>
      <c r="Y25" t="str">
        <v/>
      </c>
      <c r="Z25" t="str">
        <v/>
      </c>
      <c r="AA25" t="str">
        <v/>
      </c>
      <c r="AB25" t="str">
        <v/>
      </c>
      <c r="AC25" t="str">
        <v/>
      </c>
      <c r="AD25" t="str">
        <v/>
      </c>
      <c r="AE25" t="str">
        <v/>
      </c>
      <c r="AF25" t="str">
        <v/>
      </c>
      <c r="AG25" t="str">
        <v/>
      </c>
      <c r="AH25" t="str">
        <v/>
      </c>
      <c r="AI25" t="str">
        <v/>
      </c>
      <c r="AJ25" t="str">
        <v/>
      </c>
      <c r="AK25" t="str">
        <v/>
      </c>
      <c r="AL25" t="str">
        <v/>
      </c>
      <c r="AM25" t="str">
        <v/>
      </c>
    </row>
  </sheetData>
  <ignoredErrors>
    <ignoredError numberStoredAsText="1" sqref="A1:AM2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S1004"/>
  <sheetViews>
    <sheetView workbookViewId="0" rightToLeft="0"/>
  </sheetViews>
  <sheetData>
    <row r="1">
      <c r="B1" t="str">
        <v>DSE</v>
      </c>
      <c r="C1" t="str">
        <v>A1</v>
      </c>
      <c r="D1" t="str">
        <v>marks</v>
      </c>
      <c r="E1" t="str">
        <v>Date</v>
      </c>
      <c r="F1" t="str">
        <v>A2</v>
      </c>
      <c r="G1" t="str">
        <v>marks</v>
      </c>
      <c r="H1" t="str">
        <v>Date</v>
      </c>
      <c r="I1" t="str">
        <v>B</v>
      </c>
      <c r="J1" t="str">
        <v>marks</v>
      </c>
      <c r="K1" t="str">
        <v>Date</v>
      </c>
      <c r="L1" t="str">
        <v>Paper 1</v>
      </c>
      <c r="M1" t="str">
        <v>Date</v>
      </c>
      <c r="N1" t="str">
        <v>Paper 2</v>
      </c>
      <c r="O1" t="str">
        <v>marks</v>
      </c>
      <c r="P1" t="str">
        <v>Date</v>
      </c>
      <c r="Q1" t="str">
        <v>%</v>
      </c>
      <c r="R1" t="str">
        <v>Grade</v>
      </c>
      <c r="S1" t="str">
        <v>Remarks</v>
      </c>
    </row>
    <row r="2">
      <c r="A2" t="str">
        <v>F.6</v>
      </c>
      <c r="B2">
        <v>2026</v>
      </c>
      <c r="L2">
        <f>sum(D2+G2+J2)</f>
        <v>0</v>
      </c>
      <c r="Q2">
        <f>SUM(L2/105*65+O2/45*35)</f>
        <v>0</v>
      </c>
      <c r="R2" t="str">
        <f>LOOKUP(Q2,{0,33,49,62,74,83,90},{"-","2","3","4","5","5*","5**"})</f>
        <v>-</v>
      </c>
    </row>
    <row r="3">
      <c r="B3">
        <v>2025</v>
      </c>
      <c r="L3">
        <f>sum(D3+G3+J3)</f>
        <v>0</v>
      </c>
      <c r="Q3">
        <f>SUM(L3/105*65+O3/45*35)</f>
        <v>0</v>
      </c>
      <c r="R3" t="str">
        <f>LOOKUP(Q3,{0,33,49,62,74,83,90},{"-","2","3","4","5","5*","5**"})</f>
        <v>-</v>
      </c>
    </row>
    <row r="4">
      <c r="B4">
        <v>2024</v>
      </c>
      <c r="L4">
        <f>sum(D4+G4+J4)</f>
        <v>0</v>
      </c>
      <c r="Q4">
        <f>SUM(L4/105*65+O4/45*35)</f>
        <v>0</v>
      </c>
      <c r="R4" t="str">
        <f t="array" ref="R4">LOOKUP(Q4,{0,33,51,76,83,89,95},{"-","2","3","4","5","5*","5**"})</f>
        <v>-</v>
      </c>
    </row>
    <row r="5">
      <c r="B5">
        <v>2023</v>
      </c>
      <c r="L5">
        <f>sum(D5+G5+J5)</f>
        <v>0</v>
      </c>
      <c r="Q5">
        <f>SUM(L5/105*65+O5/45*35)</f>
        <v>0</v>
      </c>
      <c r="R5" t="str">
        <f t="array" ref="R5">LOOKUP(Q5,{0,33,54,59,74,82,90},{"-","2","3","4","5","5*","5**"})</f>
        <v>-</v>
      </c>
    </row>
    <row r="6">
      <c r="B6">
        <v>2022</v>
      </c>
      <c r="L6">
        <f>sum(D6+G6+J6)</f>
        <v>0</v>
      </c>
      <c r="Q6">
        <f>SUM(L6/105*65+O6/45*35)</f>
        <v>0</v>
      </c>
      <c r="R6" t="str">
        <f t="array" ref="R6">LOOKUP(Q6,{0,49,61,68,80,87,94},{"-","2","3","4","5","5*","5**"})</f>
        <v>-</v>
      </c>
    </row>
    <row r="7">
      <c r="B7">
        <v>2021</v>
      </c>
      <c r="L7">
        <f>sum(D7+G7+J7)</f>
        <v>0</v>
      </c>
      <c r="Q7">
        <f>SUM(L7/105*65+O7/45*35)</f>
        <v>0</v>
      </c>
      <c r="R7" t="str">
        <f t="array" ref="R7">LOOKUP(Q7,{0,36,55,62,76,84,90},{"-","2","3","4","5","5*","5**"})</f>
        <v>-</v>
      </c>
    </row>
    <row r="8">
      <c r="B8">
        <v>2020</v>
      </c>
      <c r="L8">
        <f>sum(D8+G8+J8)</f>
        <v>0</v>
      </c>
      <c r="Q8">
        <f>SUM(L8/105*65+O8/45*35)</f>
        <v>0</v>
      </c>
      <c r="R8" t="str">
        <f t="array" ref="R8">LOOKUP(Q8,{0,36,61,62,79,87,94},{"-","2","3","4","5","5*","5**"})</f>
        <v>-</v>
      </c>
    </row>
    <row r="9">
      <c r="B9">
        <v>2019</v>
      </c>
      <c r="L9">
        <f>sum(D9+G9+J9)</f>
        <v>0</v>
      </c>
      <c r="Q9">
        <f>SUM(L9/105*65+O9/45*35)</f>
        <v>0</v>
      </c>
      <c r="R9" t="str">
        <f t="array" ref="R9">LOOKUP(Q9,{0,36,53,65,76,84,90},{"-","2","3","4","5","5*","5**"})</f>
        <v>-</v>
      </c>
    </row>
    <row r="10">
      <c r="B10">
        <v>2018</v>
      </c>
      <c r="L10">
        <f>sum(D10+G10+J10)</f>
        <v>0</v>
      </c>
      <c r="Q10">
        <f>SUM(L10/105*65+O10/45*35)</f>
        <v>0</v>
      </c>
      <c r="R10" t="str">
        <f t="array" ref="R10">LOOKUP(Q10,{0,36,52,63,76,83,90},{"-","2","3","4","5","5*","5**"})</f>
        <v>-</v>
      </c>
    </row>
    <row r="11">
      <c r="B11">
        <v>2017</v>
      </c>
      <c r="L11">
        <f>sum(D11+G11+J11)</f>
        <v>0</v>
      </c>
      <c r="Q11">
        <f>SUM(L11/105*65+O11/45*35)</f>
        <v>0</v>
      </c>
      <c r="R11" t="str">
        <f t="array" ref="R11">LOOKUP(Q11,{0,36,55,67,82,87,93},{"-","2","3","4","5","5*","5**"})</f>
        <v>-</v>
      </c>
    </row>
    <row r="12">
      <c r="B12">
        <v>2016</v>
      </c>
      <c r="L12">
        <f>sum(D12+G12+J12)</f>
        <v>0</v>
      </c>
      <c r="Q12">
        <f>SUM(L12/105*65+O12/45*35)</f>
        <v>0</v>
      </c>
      <c r="R12" t="str">
        <f t="array" ref="R12">LOOKUP(Q12,{0,36,59,66,78,86,92},{"-","2","3","4","5","5*","5**"})</f>
        <v>-</v>
      </c>
    </row>
    <row r="13">
      <c r="B13">
        <v>2015</v>
      </c>
      <c r="L13">
        <f>sum(D13+G13+J13)</f>
        <v>0</v>
      </c>
      <c r="Q13">
        <f>SUM(L13/105*65+O13/45*35)</f>
        <v>0</v>
      </c>
      <c r="R13" t="str">
        <f t="array" ref="R13">LOOKUP(Q13,{0,36,52,65,80,87,93},{"-","2","3","4","5","5*","5**"})</f>
        <v>-</v>
      </c>
    </row>
    <row r="14">
      <c r="B14">
        <v>2014</v>
      </c>
      <c r="L14">
        <f>sum(D14+G14+J14)</f>
        <v>0</v>
      </c>
      <c r="Q14">
        <f>SUM(L14/105*65+O14/45*35)</f>
        <v>0</v>
      </c>
      <c r="R14" t="str">
        <f t="array" ref="R14">LOOKUP(Q14,{0,36,50,65,79,87,92},{"-","2","3","4","5","5*","5**"})</f>
        <v>-</v>
      </c>
    </row>
    <row r="15">
      <c r="B15">
        <v>2013</v>
      </c>
      <c r="L15">
        <f>sum(D15+G15+J15)</f>
        <v>0</v>
      </c>
      <c r="Q15">
        <f>SUM(L15/105*65+O15/45*35)</f>
        <v>0</v>
      </c>
      <c r="R15" t="str">
        <f t="array" ref="R15">LOOKUP(Q15,{0,36,52,61,74,81,89},{"-","2","3","4","5","5*","5**"})</f>
        <v>-</v>
      </c>
    </row>
    <row r="16">
      <c r="B16">
        <v>2012</v>
      </c>
      <c r="L16">
        <f>sum(D16+G16+J16)</f>
        <v>0</v>
      </c>
      <c r="Q16">
        <f>SUM(L16/105*65+O16/45*35)</f>
        <v>0</v>
      </c>
      <c r="R16" t="str">
        <f t="array" ref="R16">LOOKUP(Q16,{0,36,58,67,79,82,89},{"-","2","3","4","5","5*","5**"})</f>
        <v>-</v>
      </c>
    </row>
    <row r="19">
      <c r="A19" t="str">
        <v>Remedial</v>
      </c>
      <c r="B19" t="str">
        <v>Still need improvement about the concept</v>
      </c>
    </row>
    <row r="20">
      <c r="A20" t="str">
        <v xml:space="preserve">Good </v>
      </c>
      <c r="B20" t="str">
        <v>Quite Familier with the chapter</v>
      </c>
    </row>
    <row r="21">
      <c r="A21" t="str">
        <v>Mastered</v>
      </c>
      <c r="B21" t="str">
        <v>Mastered most of the question types and concept</v>
      </c>
    </row>
  </sheetData>
  <ignoredErrors>
    <ignoredError numberStoredAsText="1" sqref="A1:S100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N1000"/>
  <sheetViews>
    <sheetView workbookViewId="0" rightToLeft="0"/>
  </sheetViews>
  <sheetData>
    <row r="1">
      <c r="B1" t="str">
        <v>Set</v>
      </c>
      <c r="C1" t="str">
        <v>Year</v>
      </c>
      <c r="D1" t="str">
        <v>A1</v>
      </c>
      <c r="E1" t="str">
        <v>A2</v>
      </c>
      <c r="F1" t="str">
        <v xml:space="preserve"> B</v>
      </c>
      <c r="G1" t="str">
        <v>Paper 1</v>
      </c>
      <c r="H1" t="str">
        <v>Date</v>
      </c>
      <c r="I1" t="str">
        <v>Paper 2</v>
      </c>
      <c r="J1" t="str">
        <v>Date</v>
      </c>
      <c r="K1" t="str">
        <v>%</v>
      </c>
      <c r="L1" t="str">
        <v>Grade(Case 1)</v>
      </c>
      <c r="M1" t="str">
        <v>Grade(Case 2)</v>
      </c>
      <c r="N1" t="str">
        <v>Remarks</v>
      </c>
    </row>
    <row r="2">
      <c r="A2" t="str">
        <v>F.6</v>
      </c>
      <c r="G2">
        <f>sum(D2:F2)</f>
        <v>0</v>
      </c>
      <c r="K2">
        <f>SUM(G2/105*65+I2/45*35)</f>
        <v>0</v>
      </c>
      <c r="L2" t="str">
        <f>LOOKUP(K2,{0,49,61,68,82,87,94},{"-","2","3","4","5","5*","5**"})</f>
        <v>-</v>
      </c>
      <c r="M2" t="str">
        <f>LOOKUP(K2,{0,36,50,61,76,81,89},{"-","2","3","4","5","5*","5**"})</f>
        <v>-</v>
      </c>
    </row>
    <row r="3">
      <c r="G3">
        <f>sum(D3:F3)</f>
        <v>0</v>
      </c>
      <c r="K3">
        <f>SUM(G3/105*65+I3/45*35)</f>
        <v>0</v>
      </c>
      <c r="L3" t="str">
        <f>LOOKUP(K3,{0,49,61,68,82,87,94},{"-","2","3","4","5","5*","5**"})</f>
        <v>-</v>
      </c>
      <c r="M3" t="str">
        <f>LOOKUP(K3,{0,36,50,61,76,81,89},{"-","2","3","4","5","5*","5**"})</f>
        <v>-</v>
      </c>
    </row>
    <row r="4">
      <c r="G4">
        <f>sum(D4:F4)</f>
        <v>0</v>
      </c>
      <c r="K4">
        <f>SUM(G4/105*65+I4/45*35)</f>
        <v>0</v>
      </c>
      <c r="L4" t="str">
        <f>LOOKUP(K4,{0,49,61,68,82,87,94},{"-","2","3","4","5","5*","5**"})</f>
        <v>-</v>
      </c>
      <c r="M4" t="str">
        <f>LOOKUP(K4,{0,36,50,61,76,81,89},{"-","2","3","4","5","5*","5**"})</f>
        <v>-</v>
      </c>
    </row>
    <row r="5">
      <c r="G5">
        <f>sum(D5:F5)</f>
        <v>0</v>
      </c>
      <c r="K5">
        <f>SUM(G5/105*65+I5/45*35)</f>
        <v>0</v>
      </c>
      <c r="L5" t="str">
        <f>LOOKUP(K5,{0,49,61,68,82,87,94},{"-","2","3","4","5","5*","5**"})</f>
        <v>-</v>
      </c>
      <c r="M5" t="str">
        <f>LOOKUP(K5,{0,36,50,61,76,81,89},{"-","2","3","4","5","5*","5**"})</f>
        <v>-</v>
      </c>
    </row>
    <row r="6">
      <c r="G6">
        <f>sum(D6:F6)</f>
        <v>0</v>
      </c>
      <c r="K6">
        <f>SUM(G6/105*65+I6/45*35)</f>
        <v>0</v>
      </c>
      <c r="L6" t="str">
        <f>LOOKUP(K6,{0,49,61,68,82,87,94},{"-","2","3","4","5","5*","5**"})</f>
        <v>-</v>
      </c>
      <c r="M6" t="str">
        <f>LOOKUP(K6,{0,36,50,61,76,81,89},{"-","2","3","4","5","5*","5**"})</f>
        <v>-</v>
      </c>
    </row>
    <row r="7">
      <c r="G7">
        <f>sum(D7:F7)</f>
        <v>0</v>
      </c>
      <c r="K7">
        <f>SUM(G7/105*65+I7/45*35)</f>
        <v>0</v>
      </c>
      <c r="L7" t="str">
        <f>LOOKUP(K7,{0,49,61,68,82,87,94},{"-","2","3","4","5","5*","5**"})</f>
        <v>-</v>
      </c>
      <c r="M7" t="str">
        <f>LOOKUP(K7,{0,36,50,61,76,81,89},{"-","2","3","4","5","5*","5**"})</f>
        <v>-</v>
      </c>
    </row>
    <row r="8">
      <c r="G8">
        <f>sum(D8:F8)</f>
        <v>0</v>
      </c>
      <c r="K8">
        <f>SUM(G8/105*65+I8/45*35)</f>
        <v>0</v>
      </c>
      <c r="L8" t="str">
        <f>LOOKUP(K8,{0,49,61,68,82,87,94},{"-","2","3","4","5","5*","5**"})</f>
        <v>-</v>
      </c>
      <c r="M8" t="str">
        <f>LOOKUP(K8,{0,36,50,61,76,81,89},{"-","2","3","4","5","5*","5**"})</f>
        <v>-</v>
      </c>
    </row>
    <row r="9">
      <c r="G9">
        <f>sum(D9:F9)</f>
        <v>0</v>
      </c>
      <c r="K9">
        <f>SUM(G9/105*65+I9/45*35)</f>
        <v>0</v>
      </c>
      <c r="L9" t="str">
        <f>LOOKUP(K9,{0,49,61,68,82,87,94},{"-","2","3","4","5","5*","5**"})</f>
        <v>-</v>
      </c>
      <c r="M9" t="str">
        <f>LOOKUP(K9,{0,36,50,61,76,81,89},{"-","2","3","4","5","5*","5**"})</f>
        <v>-</v>
      </c>
    </row>
    <row r="10">
      <c r="G10">
        <f>sum(D10:F10)</f>
        <v>0</v>
      </c>
      <c r="K10">
        <f>SUM(G10/105*65+I10/45*35)</f>
        <v>0</v>
      </c>
      <c r="L10" t="str">
        <f>LOOKUP(K10,{0,49,61,68,82,87,94},{"-","2","3","4","5","5*","5**"})</f>
        <v>-</v>
      </c>
      <c r="M10" t="str">
        <f>LOOKUP(K10,{0,36,50,61,76,81,89},{"-","2","3","4","5","5*","5**"})</f>
        <v>-</v>
      </c>
    </row>
    <row r="11">
      <c r="G11">
        <f>sum(D11:F11)</f>
        <v>0</v>
      </c>
      <c r="K11">
        <f>SUM(G11/105*65+I11/45*35)</f>
        <v>0</v>
      </c>
      <c r="L11" t="str">
        <f>LOOKUP(K11,{0,49,61,68,82,87,94},{"-","2","3","4","5","5*","5**"})</f>
        <v>-</v>
      </c>
      <c r="M11" t="str">
        <f>LOOKUP(K11,{0,36,50,61,76,81,89},{"-","2","3","4","5","5*","5**"})</f>
        <v>-</v>
      </c>
    </row>
    <row r="12">
      <c r="G12">
        <f>sum(D12:F12)</f>
        <v>0</v>
      </c>
      <c r="K12">
        <f>SUM(G12/105*65+I12/45*35)</f>
        <v>0</v>
      </c>
      <c r="L12" t="str">
        <f>LOOKUP(K12,{0,49,61,68,82,87,94},{"-","2","3","4","5","5*","5**"})</f>
        <v>-</v>
      </c>
      <c r="M12" t="str">
        <f>LOOKUP(K12,{0,36,50,61,76,81,89},{"-","2","3","4","5","5*","5**"})</f>
        <v>-</v>
      </c>
    </row>
    <row r="13">
      <c r="G13">
        <f>sum(D13:F13)</f>
        <v>0</v>
      </c>
      <c r="K13">
        <f>SUM(G13/105*65+I13/45*35)</f>
        <v>0</v>
      </c>
      <c r="L13" t="str">
        <f>LOOKUP(K13,{0,49,61,68,82,87,94},{"-","2","3","4","5","5*","5**"})</f>
        <v>-</v>
      </c>
      <c r="M13" t="str">
        <f>LOOKUP(K13,{0,36,50,61,76,81,89},{"-","2","3","4","5","5*","5**"})</f>
        <v>-</v>
      </c>
    </row>
    <row r="14">
      <c r="G14">
        <f>sum(D14:F14)</f>
        <v>0</v>
      </c>
      <c r="K14">
        <f>SUM(G14/105*65+I14/45*35)</f>
        <v>0</v>
      </c>
      <c r="L14" t="str">
        <f>LOOKUP(K14,{0,49,61,68,82,87,94},{"-","2","3","4","5","5*","5**"})</f>
        <v>-</v>
      </c>
      <c r="M14" t="str">
        <f>LOOKUP(K14,{0,36,50,61,76,81,89},{"-","2","3","4","5","5*","5**"})</f>
        <v>-</v>
      </c>
    </row>
    <row r="15">
      <c r="G15">
        <f>sum(D15:F15)</f>
        <v>0</v>
      </c>
      <c r="K15">
        <f>SUM(G15/105*65+I15/45*35)</f>
        <v>0</v>
      </c>
      <c r="L15" t="str">
        <f>LOOKUP(K15,{0,49,61,68,82,87,94},{"-","2","3","4","5","5*","5**"})</f>
        <v>-</v>
      </c>
      <c r="M15" t="str">
        <f>LOOKUP(K15,{0,36,50,61,76,81,89},{"-","2","3","4","5","5*","5**"})</f>
        <v>-</v>
      </c>
    </row>
    <row r="16">
      <c r="G16">
        <f>sum(D16:F16)</f>
        <v>0</v>
      </c>
      <c r="K16">
        <f>SUM(G16/105*65+I16/45*35)</f>
        <v>0</v>
      </c>
      <c r="L16" t="str">
        <f>LOOKUP(K16,{0,49,61,68,82,87,94},{"-","2","3","4","5","5*","5**"})</f>
        <v>-</v>
      </c>
      <c r="M16" t="str">
        <f>LOOKUP(K16,{0,36,50,61,76,81,89},{"-","2","3","4","5","5*","5**"})</f>
        <v>-</v>
      </c>
    </row>
    <row r="17">
      <c r="G17">
        <f>sum(D17:F17)</f>
        <v>0</v>
      </c>
      <c r="K17">
        <f>SUM(G17/105*65+I17/45*35)</f>
        <v>0</v>
      </c>
      <c r="L17" t="str">
        <f>LOOKUP(K17,{0,49,61,68,82,87,94},{"-","2","3","4","5","5*","5**"})</f>
        <v>-</v>
      </c>
      <c r="M17" t="str">
        <f>LOOKUP(K17,{0,36,50,61,76,81,89},{"-","2","3","4","5","5*","5**"})</f>
        <v>-</v>
      </c>
    </row>
    <row r="18">
      <c r="G18">
        <f>sum(D18:F18)</f>
        <v>0</v>
      </c>
      <c r="K18">
        <f>SUM(G18/105*65+I18/45*35)</f>
        <v>0</v>
      </c>
      <c r="L18" t="str">
        <f>LOOKUP(K18,{0,49,61,68,82,87,94},{"-","2","3","4","5","5*","5**"})</f>
        <v>-</v>
      </c>
      <c r="M18" t="str">
        <f>LOOKUP(K18,{0,36,50,61,76,81,89},{"-","2","3","4","5","5*","5**"})</f>
        <v>-</v>
      </c>
    </row>
    <row r="19">
      <c r="G19">
        <f>sum(D19:F19)</f>
        <v>0</v>
      </c>
      <c r="K19">
        <f>SUM(G19/105*65+I19/45*35)</f>
        <v>0</v>
      </c>
      <c r="L19" t="str">
        <f>LOOKUP(K19,{0,49,61,68,82,87,94},{"-","2","3","4","5","5*","5**"})</f>
        <v>-</v>
      </c>
      <c r="M19" t="str">
        <f>LOOKUP(K19,{0,36,50,61,76,81,89},{"-","2","3","4","5","5*","5**"})</f>
        <v>-</v>
      </c>
    </row>
    <row r="20">
      <c r="G20">
        <f>sum(D20:F20)</f>
        <v>0</v>
      </c>
      <c r="K20">
        <f>SUM(G20/105*65+I20/45*35)</f>
        <v>0</v>
      </c>
      <c r="L20" t="str">
        <f>LOOKUP(K20,{0,49,61,68,82,87,94},{"-","2","3","4","5","5*","5**"})</f>
        <v>-</v>
      </c>
      <c r="M20" t="str">
        <f>LOOKUP(K20,{0,36,50,61,76,81,89},{"-","2","3","4","5","5*","5**"})</f>
        <v>-</v>
      </c>
    </row>
    <row r="21">
      <c r="G21">
        <f>sum(D21:F21)</f>
        <v>0</v>
      </c>
      <c r="K21">
        <f>SUM(G21/105*65+I21/45*35)</f>
        <v>0</v>
      </c>
      <c r="L21" t="str">
        <f>LOOKUP(K21,{0,49,61,68,82,87,94},{"-","2","3","4","5","5*","5**"})</f>
        <v>-</v>
      </c>
      <c r="M21" t="str">
        <f>LOOKUP(K21,{0,36,50,61,76,81,89},{"-","2","3","4","5","5*","5**"})</f>
        <v>-</v>
      </c>
    </row>
    <row r="22">
      <c r="G22">
        <f>sum(D22:F22)</f>
        <v>0</v>
      </c>
      <c r="K22">
        <f>SUM(G22/105*65+I22/45*35)</f>
        <v>0</v>
      </c>
      <c r="L22" t="str">
        <f>LOOKUP(K22,{0,49,61,68,82,87,94},{"-","2","3","4","5","5*","5**"})</f>
        <v>-</v>
      </c>
      <c r="M22" t="str">
        <f>LOOKUP(K22,{0,36,50,61,76,81,89},{"-","2","3","4","5","5*","5**"})</f>
        <v>-</v>
      </c>
    </row>
    <row r="23">
      <c r="G23">
        <f>sum(D23:F23)</f>
        <v>0</v>
      </c>
      <c r="K23">
        <f>SUM(G23/105*65+I23/45*35)</f>
        <v>0</v>
      </c>
      <c r="L23" t="str">
        <f>LOOKUP(K23,{0,49,61,68,82,87,94},{"-","2","3","4","5","5*","5**"})</f>
        <v>-</v>
      </c>
      <c r="M23" t="str">
        <f>LOOKUP(K23,{0,36,50,61,76,81,89},{"-","2","3","4","5","5*","5**"})</f>
        <v>-</v>
      </c>
    </row>
    <row r="24">
      <c r="G24">
        <f>sum(D24:F24)</f>
        <v>0</v>
      </c>
      <c r="K24">
        <f>SUM(G24/105*65+I24/45*35)</f>
        <v>0</v>
      </c>
      <c r="L24" t="str">
        <f>LOOKUP(K24,{0,49,61,68,82,87,94},{"-","2","3","4","5","5*","5**"})</f>
        <v>-</v>
      </c>
      <c r="M24" t="str">
        <f>LOOKUP(K24,{0,36,50,61,76,81,89},{"-","2","3","4","5","5*","5**"})</f>
        <v>-</v>
      </c>
    </row>
    <row r="25">
      <c r="G25">
        <f>sum(D25:F25)</f>
        <v>0</v>
      </c>
      <c r="K25">
        <f>SUM(G25/105*65+I25/45*35)</f>
        <v>0</v>
      </c>
      <c r="L25" t="str">
        <f>LOOKUP(K25,{0,49,61,68,82,87,94},{"-","2","3","4","5","5*","5**"})</f>
        <v>-</v>
      </c>
      <c r="M25" t="str">
        <f>LOOKUP(K25,{0,36,50,61,76,81,89},{"-","2","3","4","5","5*","5**"})</f>
        <v>-</v>
      </c>
    </row>
    <row r="26">
      <c r="G26">
        <f>sum(D26:F26)</f>
        <v>0</v>
      </c>
      <c r="K26">
        <f>SUM(G26/105*65+I26/45*35)</f>
        <v>0</v>
      </c>
      <c r="L26" t="str">
        <f>LOOKUP(K26,{0,49,61,68,82,87,94},{"-","2","3","4","5","5*","5**"})</f>
        <v>-</v>
      </c>
      <c r="M26" t="str">
        <f>LOOKUP(K26,{0,36,50,61,76,81,89},{"-","2","3","4","5","5*","5**"})</f>
        <v>-</v>
      </c>
    </row>
    <row r="27">
      <c r="G27">
        <f>sum(D27:F27)</f>
        <v>0</v>
      </c>
      <c r="K27">
        <f>SUM(G27/105*65+I27/45*35)</f>
        <v>0</v>
      </c>
      <c r="L27" t="str">
        <f>LOOKUP(K27,{0,49,61,68,82,87,94},{"-","2","3","4","5","5*","5**"})</f>
        <v>-</v>
      </c>
      <c r="M27" t="str">
        <f>LOOKUP(K27,{0,36,50,61,76,81,89},{"-","2","3","4","5","5*","5**"})</f>
        <v>-</v>
      </c>
    </row>
    <row r="28">
      <c r="G28">
        <f>sum(D28:F28)</f>
        <v>0</v>
      </c>
      <c r="K28">
        <f>SUM(G28/105*65+I28/45*35)</f>
        <v>0</v>
      </c>
      <c r="L28" t="str">
        <f>LOOKUP(K28,{0,49,61,68,82,87,94},{"-","2","3","4","5","5*","5**"})</f>
        <v>-</v>
      </c>
      <c r="M28" t="str">
        <f>LOOKUP(K28,{0,36,50,61,76,81,89},{"-","2","3","4","5","5*","5**"})</f>
        <v>-</v>
      </c>
    </row>
    <row r="29">
      <c r="G29">
        <f>sum(D29:F29)</f>
        <v>0</v>
      </c>
      <c r="K29">
        <f>SUM(G29/105*65+I29/45*35)</f>
        <v>0</v>
      </c>
      <c r="L29" t="str">
        <f>LOOKUP(K29,{0,49,61,68,82,87,94},{"-","2","3","4","5","5*","5**"})</f>
        <v>-</v>
      </c>
      <c r="M29" t="str">
        <f>LOOKUP(K29,{0,36,50,61,76,81,89},{"-","2","3","4","5","5*","5**"})</f>
        <v>-</v>
      </c>
    </row>
    <row r="30">
      <c r="G30">
        <f>sum(D30:F30)</f>
        <v>0</v>
      </c>
      <c r="K30">
        <f>SUM(G30/105*65+I30/45*35)</f>
        <v>0</v>
      </c>
      <c r="L30" t="str">
        <f>LOOKUP(K30,{0,49,61,68,82,87,94},{"-","2","3","4","5","5*","5**"})</f>
        <v>-</v>
      </c>
      <c r="M30" t="str">
        <f>LOOKUP(K30,{0,36,50,61,76,81,89},{"-","2","3","4","5","5*","5**"})</f>
        <v>-</v>
      </c>
    </row>
    <row r="31">
      <c r="G31">
        <f>sum(D31:F31)</f>
        <v>0</v>
      </c>
      <c r="K31">
        <f>SUM(G31/105*65+I31/45*35)</f>
        <v>0</v>
      </c>
      <c r="L31" t="str">
        <f>LOOKUP(K31,{0,49,61,68,82,87,94},{"-","2","3","4","5","5*","5**"})</f>
        <v>-</v>
      </c>
      <c r="M31" t="str">
        <f>LOOKUP(K31,{0,36,50,61,76,81,89},{"-","2","3","4","5","5*","5**"})</f>
        <v>-</v>
      </c>
    </row>
    <row r="32">
      <c r="G32">
        <f>sum(D32:F32)</f>
        <v>0</v>
      </c>
      <c r="K32">
        <f>SUM(G32/105*65+I32/45*35)</f>
        <v>0</v>
      </c>
      <c r="L32" t="str">
        <f>LOOKUP(K32,{0,49,61,68,82,87,94},{"-","2","3","4","5","5*","5**"})</f>
        <v>-</v>
      </c>
      <c r="M32" t="str">
        <f>LOOKUP(K32,{0,36,50,61,76,81,89},{"-","2","3","4","5","5*","5**"})</f>
        <v>-</v>
      </c>
    </row>
    <row r="33">
      <c r="G33">
        <f>sum(D33:F33)</f>
        <v>0</v>
      </c>
      <c r="K33">
        <f>SUM(G33/105*65+I33/45*35)</f>
        <v>0</v>
      </c>
      <c r="L33" t="str">
        <f>LOOKUP(K33,{0,49,61,68,82,87,94},{"-","2","3","4","5","5*","5**"})</f>
        <v>-</v>
      </c>
      <c r="M33" t="str">
        <f>LOOKUP(K33,{0,36,50,61,76,81,89},{"-","2","3","4","5","5*","5**"})</f>
        <v>-</v>
      </c>
    </row>
    <row r="34">
      <c r="G34">
        <f>sum(D34:F34)</f>
        <v>0</v>
      </c>
      <c r="K34">
        <f>SUM(G34/105*65+I34/45*35)</f>
        <v>0</v>
      </c>
      <c r="L34" t="str">
        <f>LOOKUP(K34,{0,49,61,68,82,87,94},{"-","2","3","4","5","5*","5**"})</f>
        <v>-</v>
      </c>
      <c r="M34" t="str">
        <f>LOOKUP(K34,{0,36,50,61,76,81,89},{"-","2","3","4","5","5*","5**"})</f>
        <v>-</v>
      </c>
    </row>
    <row r="35">
      <c r="G35">
        <f>sum(D35:F35)</f>
        <v>0</v>
      </c>
      <c r="K35">
        <f>SUM(G35/105*65+I35/45*35)</f>
        <v>0</v>
      </c>
      <c r="L35" t="str">
        <f>LOOKUP(K35,{0,49,61,68,82,87,94},{"-","2","3","4","5","5*","5**"})</f>
        <v>-</v>
      </c>
      <c r="M35" t="str">
        <f>LOOKUP(K35,{0,36,50,61,76,81,89},{"-","2","3","4","5","5*","5**"})</f>
        <v>-</v>
      </c>
    </row>
    <row r="36">
      <c r="G36">
        <f>sum(D36:F36)</f>
        <v>0</v>
      </c>
      <c r="K36">
        <f>SUM(G36/105*65+I36/45*35)</f>
        <v>0</v>
      </c>
      <c r="L36" t="str">
        <f>LOOKUP(K36,{0,49,61,68,82,87,94},{"-","2","3","4","5","5*","5**"})</f>
        <v>-</v>
      </c>
      <c r="M36" t="str">
        <f>LOOKUP(K36,{0,36,50,61,76,81,89},{"-","2","3","4","5","5*","5**"})</f>
        <v>-</v>
      </c>
    </row>
    <row r="37">
      <c r="G37">
        <f>sum(D37:F37)</f>
        <v>0</v>
      </c>
      <c r="K37">
        <f>SUM(G37/105*65+I37/45*35)</f>
        <v>0</v>
      </c>
      <c r="L37" t="str">
        <f>LOOKUP(K37,{0,49,61,68,82,87,94},{"-","2","3","4","5","5*","5**"})</f>
        <v>-</v>
      </c>
      <c r="M37" t="str">
        <f>LOOKUP(K37,{0,36,50,61,76,81,89},{"-","2","3","4","5","5*","5**"})</f>
        <v>-</v>
      </c>
    </row>
    <row r="38">
      <c r="G38">
        <f>sum(D38:F38)</f>
        <v>0</v>
      </c>
      <c r="K38">
        <f>SUM(G38/105*65+I38/45*35)</f>
        <v>0</v>
      </c>
      <c r="L38" t="str">
        <f>LOOKUP(K38,{0,49,61,68,82,87,94},{"-","2","3","4","5","5*","5**"})</f>
        <v>-</v>
      </c>
      <c r="M38" t="str">
        <f>LOOKUP(K38,{0,36,50,61,76,81,89},{"-","2","3","4","5","5*","5**"})</f>
        <v>-</v>
      </c>
    </row>
    <row r="39">
      <c r="G39">
        <f>sum(D39:F39)</f>
        <v>0</v>
      </c>
      <c r="K39">
        <f>SUM(G39/105*65+I39/45*35)</f>
        <v>0</v>
      </c>
      <c r="L39" t="str">
        <f>LOOKUP(K39,{0,49,61,68,82,87,94},{"-","2","3","4","5","5*","5**"})</f>
        <v>-</v>
      </c>
      <c r="M39" t="str">
        <f>LOOKUP(K39,{0,36,50,61,76,81,89},{"-","2","3","4","5","5*","5**"})</f>
        <v>-</v>
      </c>
    </row>
  </sheetData>
  <ignoredErrors>
    <ignoredError numberStoredAsText="1" sqref="A1:N10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P1000"/>
  <sheetViews>
    <sheetView workbookViewId="0" rightToLeft="0"/>
  </sheetViews>
  <sheetData>
    <row r="1">
      <c r="A1" t="str">
        <v>Level 等級</v>
      </c>
      <c r="B1" t="str">
        <v>2026/176(%)</v>
      </c>
      <c r="C1" t="str">
        <v>2025/191(%)</v>
      </c>
      <c r="D1" t="str">
        <v>2024/176(%)</v>
      </c>
      <c r="E1" t="str">
        <v>2023/192(%)</v>
      </c>
      <c r="F1" t="str">
        <v>2022/179(%)</v>
      </c>
      <c r="G1" t="str">
        <v>2021/187(%)</v>
      </c>
      <c r="H1" t="str">
        <v>2020/182(%)</v>
      </c>
      <c r="I1" t="str">
        <v>2019/188(%)</v>
      </c>
      <c r="J1" t="str">
        <v>2018/190(%)</v>
      </c>
      <c r="K1" t="str">
        <v>2017/183(%)</v>
      </c>
      <c r="L1" t="str">
        <v>2016/183(%)</v>
      </c>
      <c r="M1" t="str">
        <v>2015/183(%)</v>
      </c>
      <c r="N1" t="str">
        <v>2014/184(%)</v>
      </c>
      <c r="O1" t="str">
        <v>2013/201(%)</v>
      </c>
      <c r="P1" t="str">
        <v>2012/198(%)</v>
      </c>
    </row>
    <row r="2">
      <c r="A2" t="str">
        <v>5**</v>
      </c>
      <c r="B2" t="str">
        <v>167(95)</v>
      </c>
      <c r="C2" t="str">
        <v>172(90)</v>
      </c>
      <c r="D2" t="str">
        <v>167(95)</v>
      </c>
      <c r="E2" t="str">
        <v>173(90)</v>
      </c>
      <c r="F2" t="str">
        <v>168(94)</v>
      </c>
      <c r="G2" t="str">
        <v>169 (90)</v>
      </c>
      <c r="H2" t="str">
        <v>171 (94)</v>
      </c>
      <c r="I2" t="str">
        <v>170 (90)</v>
      </c>
      <c r="J2" t="str">
        <v>170 (90)</v>
      </c>
      <c r="K2" t="str">
        <v>170 (93)</v>
      </c>
      <c r="L2" t="str">
        <v>171 (92)</v>
      </c>
      <c r="M2" t="str">
        <v>169 (93)</v>
      </c>
      <c r="N2" t="str">
        <v>170 (92)</v>
      </c>
      <c r="O2" t="str">
        <v>178 (89)</v>
      </c>
      <c r="P2" t="str">
        <v>184(89)</v>
      </c>
    </row>
    <row r="3">
      <c r="A3" t="str">
        <v>5*</v>
      </c>
      <c r="B3" t="str">
        <v>156(89)</v>
      </c>
      <c r="C3" t="str">
        <v>159(83)</v>
      </c>
      <c r="D3" t="str">
        <v>156(89)</v>
      </c>
      <c r="E3" t="str">
        <v>158(82)</v>
      </c>
      <c r="F3" t="str">
        <v>156(87)</v>
      </c>
      <c r="G3" t="str">
        <v>157 (84)</v>
      </c>
      <c r="H3" t="str">
        <v>158 (87)</v>
      </c>
      <c r="I3" t="str">
        <v>158 (84)</v>
      </c>
      <c r="J3" t="str">
        <v>158 (83)</v>
      </c>
      <c r="K3" t="str">
        <v>159 (87)</v>
      </c>
      <c r="L3" t="str">
        <v>160 (86)</v>
      </c>
      <c r="M3" t="str">
        <v>159 (87)</v>
      </c>
      <c r="N3" t="str">
        <v>160 (87)</v>
      </c>
      <c r="O3" t="str">
        <v>163 (81)</v>
      </c>
      <c r="P3" t="str">
        <v>162(82)</v>
      </c>
    </row>
    <row r="4">
      <c r="A4" t="str">
        <v>5</v>
      </c>
      <c r="B4" t="str">
        <v>146(83)</v>
      </c>
      <c r="C4" t="str">
        <v>142(74)</v>
      </c>
      <c r="D4" t="str">
        <v>146(83)</v>
      </c>
      <c r="E4" t="str">
        <v>142(74)</v>
      </c>
      <c r="F4" t="str">
        <v>143(80)</v>
      </c>
      <c r="G4" t="str">
        <v>142 (76)</v>
      </c>
      <c r="H4" t="str">
        <v>144 (79)</v>
      </c>
      <c r="I4" t="str">
        <v>143 (76)</v>
      </c>
      <c r="J4" t="str">
        <v>145 (76)</v>
      </c>
      <c r="K4" t="str">
        <v>150 (82)</v>
      </c>
      <c r="L4" t="str">
        <v>146 (78)</v>
      </c>
      <c r="M4" t="str">
        <v>146 (80)</v>
      </c>
      <c r="N4" t="str">
        <v>146 (79)</v>
      </c>
      <c r="O4" t="str">
        <v>149 (74)</v>
      </c>
      <c r="P4" t="str">
        <v>156(79)</v>
      </c>
    </row>
    <row r="5">
      <c r="A5" t="str">
        <v>4</v>
      </c>
      <c r="B5" t="str">
        <v>134(76)</v>
      </c>
      <c r="C5" t="str">
        <v>118(62)</v>
      </c>
      <c r="D5" t="str">
        <v>134(76)</v>
      </c>
      <c r="E5" t="str">
        <v>114(59)</v>
      </c>
      <c r="F5" t="str">
        <v>121(68)</v>
      </c>
      <c r="G5" t="str">
        <v>116 (62)</v>
      </c>
      <c r="H5" t="str">
        <v>113 (62)</v>
      </c>
      <c r="I5" t="str">
        <v>123 (65)</v>
      </c>
      <c r="J5" t="str">
        <v>119 (63)</v>
      </c>
      <c r="K5" t="str">
        <v>122 (67)</v>
      </c>
      <c r="L5" t="str">
        <v>122 (66)</v>
      </c>
      <c r="M5" t="str">
        <v>119 (65)</v>
      </c>
      <c r="N5" t="str">
        <v>120 (65)</v>
      </c>
      <c r="O5" t="str">
        <v>123 (61)</v>
      </c>
      <c r="P5" t="str">
        <v>134(67)</v>
      </c>
    </row>
    <row r="6">
      <c r="A6" t="str">
        <v>3</v>
      </c>
      <c r="B6" t="str">
        <v>89(51)</v>
      </c>
      <c r="C6" t="str">
        <v>94(49)</v>
      </c>
      <c r="D6" t="str">
        <v>89(51)</v>
      </c>
      <c r="E6" t="str">
        <v>103(54)</v>
      </c>
      <c r="F6" t="str">
        <v>109(61)</v>
      </c>
      <c r="G6" t="str">
        <v>103 (55)</v>
      </c>
      <c r="H6" t="str">
        <v>111 (51)</v>
      </c>
      <c r="I6" t="str">
        <v>100 (53)</v>
      </c>
      <c r="J6" t="str">
        <v>105 (52)</v>
      </c>
      <c r="K6" t="str">
        <v>100 (55)</v>
      </c>
      <c r="L6" t="str">
        <v>110 (59)</v>
      </c>
      <c r="M6" t="str">
        <v>95(52)</v>
      </c>
      <c r="N6" t="str">
        <v>90(50)</v>
      </c>
      <c r="O6" t="str">
        <v>105 (52)</v>
      </c>
      <c r="P6" t="str">
        <v>115(58)</v>
      </c>
    </row>
    <row r="7">
      <c r="A7" t="str">
        <v>2</v>
      </c>
      <c r="B7" t="str">
        <v>64(33)</v>
      </c>
      <c r="C7" t="str">
        <v>64(33)</v>
      </c>
      <c r="D7" t="str">
        <v>64(33)</v>
      </c>
      <c r="E7" t="str">
        <v>64(33)</v>
      </c>
      <c r="F7" t="str">
        <v>87(49)</v>
      </c>
      <c r="G7" t="str">
        <v>68(36)</v>
      </c>
      <c r="H7" t="str">
        <v>66(36)</v>
      </c>
      <c r="I7" t="str">
        <v>67(36)</v>
      </c>
      <c r="J7" t="str">
        <v>69(36)</v>
      </c>
      <c r="K7" t="str">
        <v>66(36)</v>
      </c>
      <c r="L7" t="str">
        <v>66(36)</v>
      </c>
      <c r="M7" t="str">
        <v>66(36)</v>
      </c>
      <c r="N7" t="str">
        <v>67(36)</v>
      </c>
      <c r="O7" t="str">
        <v>73(36)</v>
      </c>
      <c r="P7" t="str">
        <v>72(36)</v>
      </c>
    </row>
  </sheetData>
  <ignoredErrors>
    <ignoredError numberStoredAsText="1" sqref="A1:P100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B1"/>
  <sheetViews>
    <sheetView workbookViewId="0" rightToLeft="0"/>
  </sheetViews>
  <sheetData>
    <row r="1">
      <c r="A1" t="str">
        <v>Date</v>
      </c>
      <c r="B1" t="str">
        <v>Exam/UT/Quiz</v>
      </c>
    </row>
  </sheetData>
  <ignoredErrors>
    <ignoredError numberStoredAsText="1" sqref="A1:B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A1000"/>
  <sheetViews>
    <sheetView workbookViewId="0" rightToLeft="0"/>
  </sheetViews>
  <sheetData>
    <row r="3">
      <c r="A3" t="str">
        <v>Date</v>
      </c>
    </row>
  </sheetData>
  <ignoredErrors>
    <ignoredError numberStoredAsText="1" sqref="A1:A100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F997"/>
  <sheetViews>
    <sheetView workbookViewId="0" rightToLeft="0"/>
  </sheetViews>
  <sheetData>
    <row r="1">
      <c r="B1" t="str">
        <v xml:space="preserve">Textbook: </v>
      </c>
      <c r="C1" t="str">
        <v xml:space="preserve">Textbook: </v>
      </c>
      <c r="D1" t="str">
        <v>Basic Concept</v>
      </c>
      <c r="E1" t="str">
        <v>Date</v>
      </c>
      <c r="F1" t="str">
        <v>Remarks</v>
      </c>
    </row>
    <row r="2">
      <c r="A2" t="str">
        <v>M1</v>
      </c>
      <c r="B2" t="str">
        <v>Binomial Expansion</v>
      </c>
      <c r="C2" t="str">
        <v>二項展式</v>
      </c>
    </row>
    <row r="3">
      <c r="B3" t="str">
        <v>Exponential Functions and Logarithmic Functions</v>
      </c>
      <c r="C3" t="str">
        <v>指數函數與對數函數</v>
      </c>
    </row>
    <row r="4">
      <c r="B4" t="str">
        <v>Limits and Derivatives</v>
      </c>
      <c r="C4" t="str">
        <v>極限與導數</v>
      </c>
    </row>
    <row r="5">
      <c r="B5" t="str">
        <v>Differentiation</v>
      </c>
      <c r="C5" t="str">
        <v>微分法</v>
      </c>
    </row>
    <row r="6">
      <c r="B6" t="str">
        <v>Applications of Differentiation</v>
      </c>
      <c r="C6" t="str">
        <v>微分法的應用</v>
      </c>
    </row>
    <row r="7">
      <c r="B7" t="str">
        <v>Indefinite Integration and its Applications</v>
      </c>
      <c r="C7" t="str">
        <v>不定積分法及其應用</v>
      </c>
    </row>
    <row r="8">
      <c r="B8" t="str">
        <v>Definite Integration and its Applications</v>
      </c>
      <c r="C8" t="str">
        <v>定積分法及其應用</v>
      </c>
    </row>
    <row r="9">
      <c r="B9" t="str">
        <v>Estimate Definite Integrals by Trapezoidal Rule</v>
      </c>
      <c r="C9" t="str">
        <v>梯形法則</v>
      </c>
    </row>
    <row r="10">
      <c r="B10" t="str">
        <v>Conditional Probability and Bayes_ Theorem</v>
      </c>
      <c r="C10" t="str">
        <v>條件概率及貝葉斯定理</v>
      </c>
    </row>
    <row r="11">
      <c r="B11" t="str">
        <v>Discrete Probability Distributions</v>
      </c>
      <c r="C11" t="str">
        <v>離散概率分佈</v>
      </c>
    </row>
    <row r="12">
      <c r="B12" t="str">
        <v>Some Special Discrete Probability Distributions</v>
      </c>
      <c r="C12" t="str">
        <v>一些特殊的離散概率分佈</v>
      </c>
    </row>
    <row r="13">
      <c r="B13" t="str">
        <v>Normal Distribution and its Applications</v>
      </c>
      <c r="C13" t="str">
        <v>正態分佈及其應用</v>
      </c>
    </row>
    <row r="14">
      <c r="B14" t="str">
        <v>Point and Interval Estimation</v>
      </c>
      <c r="C14" t="str">
        <v>點及區間估計</v>
      </c>
    </row>
    <row r="18">
      <c r="A18" t="str">
        <v>Remedial</v>
      </c>
      <c r="B18" t="str">
        <v>Still need improvement about the concept</v>
      </c>
    </row>
    <row r="19">
      <c r="A19" t="str">
        <v xml:space="preserve">Good </v>
      </c>
      <c r="B19" t="str">
        <v>Quite Familier with the chapter</v>
      </c>
    </row>
    <row r="20">
      <c r="A20" t="str">
        <v>Mastered</v>
      </c>
      <c r="B20" t="str">
        <v>Mastered most of the question types and concept</v>
      </c>
    </row>
  </sheetData>
  <ignoredErrors>
    <ignoredError numberStoredAsText="1" sqref="A1:F997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F998"/>
  <sheetViews>
    <sheetView workbookViewId="0" rightToLeft="0"/>
  </sheetViews>
  <sheetData>
    <row r="1">
      <c r="B1" t="str">
        <v xml:space="preserve">Textbook: </v>
      </c>
      <c r="C1" t="str">
        <v xml:space="preserve">Textbook: </v>
      </c>
      <c r="D1" t="str">
        <v>Basic Concept</v>
      </c>
      <c r="E1" t="str">
        <v>Date</v>
      </c>
      <c r="F1" t="str">
        <v>Remarks</v>
      </c>
    </row>
    <row r="2">
      <c r="A2" t="str">
        <v>M2</v>
      </c>
      <c r="B2" t="str">
        <v>Pre-requisite Knowledge</v>
      </c>
      <c r="C2" t="str">
        <v>預備知識</v>
      </c>
    </row>
    <row r="3">
      <c r="B3" t="str">
        <v>Mathematical Induction</v>
      </c>
      <c r="C3" t="str">
        <v>數學歸納法</v>
      </c>
    </row>
    <row r="4">
      <c r="B4" t="str">
        <v>Binomial Theorem</v>
      </c>
      <c r="C4" t="str">
        <v>二項式定理</v>
      </c>
    </row>
    <row r="5">
      <c r="B5" t="str">
        <v>More about Trigonometric Functions</v>
      </c>
      <c r="C5" t="str">
        <v>續三角函數</v>
      </c>
    </row>
    <row r="6">
      <c r="B6" t="str">
        <v>Limits and the Number e</v>
      </c>
      <c r="C6" t="str">
        <v>極限及數字 e</v>
      </c>
    </row>
    <row r="7">
      <c r="B7" t="str">
        <v>Differentiation</v>
      </c>
      <c r="C7" t="str">
        <v>微分法</v>
      </c>
    </row>
    <row r="8">
      <c r="B8" t="str">
        <v>Applications of Differentiation</v>
      </c>
      <c r="C8" t="str">
        <v>微分法的應用</v>
      </c>
    </row>
    <row r="9">
      <c r="B9" t="str">
        <v>Indefinite Integration</v>
      </c>
      <c r="C9" t="str">
        <v>不定積分法</v>
      </c>
    </row>
    <row r="10">
      <c r="B10" t="str">
        <v>Definite Integration</v>
      </c>
      <c r="C10" t="str">
        <v>定積分法</v>
      </c>
    </row>
    <row r="11">
      <c r="B11" t="str">
        <v>Applications of Definite Integration</v>
      </c>
      <c r="C11" t="str">
        <v>定積分法的應用</v>
      </c>
    </row>
    <row r="12">
      <c r="B12" t="str">
        <v>Matrices and Determinants</v>
      </c>
      <c r="C12" t="str">
        <v>矩陣與行列式</v>
      </c>
    </row>
    <row r="13">
      <c r="B13" t="str">
        <v>Systems of Linear equations</v>
      </c>
      <c r="C13" t="str">
        <v>矩陣與行列式</v>
      </c>
    </row>
    <row r="14">
      <c r="B14" t="str">
        <v>Introduction to Vectors</v>
      </c>
      <c r="C14" t="str">
        <v>向量簡介</v>
      </c>
    </row>
    <row r="15">
      <c r="B15" t="str">
        <v>Scalar Products and Vector Products</v>
      </c>
      <c r="C15" t="str">
        <v>純量積與向量積</v>
      </c>
    </row>
    <row r="19">
      <c r="A19" t="str">
        <v>Remedial</v>
      </c>
      <c r="B19" t="str">
        <v>Still need improvement about the concept</v>
      </c>
    </row>
    <row r="20">
      <c r="A20" t="str">
        <v xml:space="preserve">Good </v>
      </c>
      <c r="B20" t="str">
        <v>Quite Familier with the chapter</v>
      </c>
    </row>
    <row r="21">
      <c r="A21" t="str">
        <v>Mastered</v>
      </c>
      <c r="B21" t="str">
        <v>Mastered most of the question types and concept</v>
      </c>
    </row>
  </sheetData>
  <ignoredErrors>
    <ignoredError numberStoredAsText="1" sqref="A1:F99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F1</vt:lpstr>
      <vt:lpstr>F2</vt:lpstr>
      <vt:lpstr>F3</vt:lpstr>
      <vt:lpstr>F4</vt:lpstr>
      <vt:lpstr>F5</vt:lpstr>
      <vt:lpstr>F6 By Topics</vt:lpstr>
      <vt:lpstr>F6 By Years</vt:lpstr>
      <vt:lpstr>F6 學校mock卷</vt:lpstr>
      <vt:lpstr>Cut Off</vt:lpstr>
      <vt:lpstr>Exam Schedule</vt:lpstr>
      <vt:lpstr>PU</vt:lpstr>
      <vt:lpstr>M1</vt:lpstr>
      <vt:lpstr>M2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