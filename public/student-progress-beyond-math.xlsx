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F5CE3A-684A-484A-8059-90928D84648B}" xr6:coauthVersionLast="47" xr6:coauthVersionMax="47" xr10:uidLastSave="{00000000-0000-0000-0000-000000000000}"/>
  <bookViews>
    <workbookView xWindow="-120" yWindow="-120" windowWidth="29040" windowHeight="15720" activeTab="12" xr2:uid="{00000000-000D-0000-FFFF-FFFF00000000}"/>
  </bookViews>
  <sheets>
    <sheet name="F1" sheetId="1" r:id="rId1"/>
    <sheet name="F2" sheetId="2" r:id="rId2"/>
    <sheet name="F3" sheetId="3" r:id="rId3"/>
    <sheet name="F4" sheetId="4" r:id="rId4"/>
    <sheet name="F5" sheetId="5" r:id="rId5"/>
    <sheet name="F6 By Topics" sheetId="6" r:id="rId6"/>
    <sheet name="F6 By Years" sheetId="7" r:id="rId7"/>
    <sheet name="F6 學校mock卷" sheetId="8" r:id="rId8"/>
    <sheet name="Cut Off" sheetId="9" r:id="rId9"/>
    <sheet name="Exam Schedule" sheetId="10" r:id="rId10"/>
    <sheet name="PU" sheetId="11" r:id="rId11"/>
    <sheet name="M1" sheetId="12" r:id="rId12"/>
    <sheet name="M2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8" l="1"/>
  <c r="K39" i="8" s="1"/>
  <c r="G38" i="8"/>
  <c r="K38" i="8" s="1"/>
  <c r="G37" i="8"/>
  <c r="K37" i="8" s="1"/>
  <c r="G36" i="8"/>
  <c r="K36" i="8" s="1"/>
  <c r="G35" i="8"/>
  <c r="K35" i="8" s="1"/>
  <c r="G34" i="8"/>
  <c r="K34" i="8" s="1"/>
  <c r="G33" i="8"/>
  <c r="K33" i="8" s="1"/>
  <c r="G32" i="8"/>
  <c r="K32" i="8" s="1"/>
  <c r="G31" i="8"/>
  <c r="K31" i="8" s="1"/>
  <c r="G30" i="8"/>
  <c r="K30" i="8" s="1"/>
  <c r="G29" i="8"/>
  <c r="K29" i="8" s="1"/>
  <c r="G28" i="8"/>
  <c r="K28" i="8" s="1"/>
  <c r="G27" i="8"/>
  <c r="K27" i="8" s="1"/>
  <c r="G26" i="8"/>
  <c r="K26" i="8" s="1"/>
  <c r="G25" i="8"/>
  <c r="K25" i="8" s="1"/>
  <c r="G24" i="8"/>
  <c r="K24" i="8" s="1"/>
  <c r="G23" i="8"/>
  <c r="K23" i="8" s="1"/>
  <c r="G22" i="8"/>
  <c r="K22" i="8" s="1"/>
  <c r="G21" i="8"/>
  <c r="K21" i="8" s="1"/>
  <c r="G20" i="8"/>
  <c r="K20" i="8" s="1"/>
  <c r="G19" i="8"/>
  <c r="K19" i="8" s="1"/>
  <c r="G18" i="8"/>
  <c r="K18" i="8" s="1"/>
  <c r="G17" i="8"/>
  <c r="K17" i="8" s="1"/>
  <c r="G16" i="8"/>
  <c r="K16" i="8" s="1"/>
  <c r="G15" i="8"/>
  <c r="K15" i="8" s="1"/>
  <c r="G14" i="8"/>
  <c r="K14" i="8" s="1"/>
  <c r="G13" i="8"/>
  <c r="K13" i="8" s="1"/>
  <c r="G12" i="8"/>
  <c r="K12" i="8" s="1"/>
  <c r="G11" i="8"/>
  <c r="K11" i="8" s="1"/>
  <c r="G10" i="8"/>
  <c r="K10" i="8" s="1"/>
  <c r="G9" i="8"/>
  <c r="K9" i="8" s="1"/>
  <c r="G8" i="8"/>
  <c r="K8" i="8" s="1"/>
  <c r="G7" i="8"/>
  <c r="K7" i="8" s="1"/>
  <c r="G6" i="8"/>
  <c r="K6" i="8" s="1"/>
  <c r="G5" i="8"/>
  <c r="K5" i="8" s="1"/>
  <c r="G4" i="8"/>
  <c r="K4" i="8" s="1"/>
  <c r="G3" i="8"/>
  <c r="K3" i="8" s="1"/>
  <c r="G2" i="8"/>
  <c r="K2" i="8" s="1"/>
  <c r="L16" i="7"/>
  <c r="Q16" i="7" s="1"/>
  <c r="R16" i="7" s="1" a="1"/>
  <c r="R16" i="7" s="1"/>
  <c r="L15" i="7"/>
  <c r="Q15" i="7" s="1"/>
  <c r="R15" i="7" s="1" a="1"/>
  <c r="R15" i="7" s="1"/>
  <c r="L14" i="7"/>
  <c r="Q14" i="7" s="1"/>
  <c r="R14" i="7" s="1" a="1"/>
  <c r="R14" i="7" s="1"/>
  <c r="L13" i="7"/>
  <c r="Q13" i="7" s="1"/>
  <c r="R13" i="7" s="1" a="1"/>
  <c r="R13" i="7" s="1"/>
  <c r="L12" i="7"/>
  <c r="Q12" i="7" s="1"/>
  <c r="R12" i="7" s="1" a="1"/>
  <c r="R12" i="7" s="1"/>
  <c r="L11" i="7"/>
  <c r="Q11" i="7" s="1"/>
  <c r="R11" i="7" s="1" a="1"/>
  <c r="R11" i="7" s="1"/>
  <c r="L10" i="7"/>
  <c r="Q10" i="7" s="1"/>
  <c r="R10" i="7" s="1" a="1"/>
  <c r="R10" i="7" s="1"/>
  <c r="L9" i="7"/>
  <c r="Q9" i="7" s="1"/>
  <c r="R9" i="7" s="1" a="1"/>
  <c r="R9" i="7" s="1"/>
  <c r="L8" i="7"/>
  <c r="Q8" i="7" s="1"/>
  <c r="R8" i="7" s="1" a="1"/>
  <c r="R8" i="7" s="1"/>
  <c r="L7" i="7"/>
  <c r="Q7" i="7" s="1"/>
  <c r="R7" i="7" s="1" a="1"/>
  <c r="R7" i="7" s="1"/>
  <c r="L6" i="7"/>
  <c r="Q6" i="7" s="1"/>
  <c r="R6" i="7" s="1" a="1"/>
  <c r="R6" i="7" s="1"/>
  <c r="L5" i="7"/>
  <c r="Q5" i="7" s="1"/>
  <c r="R5" i="7" s="1" a="1"/>
  <c r="R5" i="7" s="1"/>
  <c r="L4" i="7"/>
  <c r="Q4" i="7" s="1"/>
  <c r="R4" i="7" s="1" a="1"/>
  <c r="R4" i="7" s="1"/>
  <c r="L3" i="7"/>
  <c r="Q3" i="7" s="1"/>
  <c r="R3" i="7" s="1"/>
  <c r="L2" i="7"/>
  <c r="Q2" i="7" s="1"/>
  <c r="R2" i="7" s="1"/>
  <c r="M10" i="8" l="1"/>
  <c r="L10" i="8"/>
  <c r="M20" i="8"/>
  <c r="L20" i="8"/>
  <c r="M30" i="8"/>
  <c r="L30" i="8"/>
  <c r="M11" i="8"/>
  <c r="L11" i="8"/>
  <c r="M21" i="8"/>
  <c r="L21" i="8"/>
  <c r="M31" i="8"/>
  <c r="L31" i="8"/>
  <c r="L2" i="8"/>
  <c r="M2" i="8"/>
  <c r="L12" i="8"/>
  <c r="M12" i="8"/>
  <c r="L22" i="8"/>
  <c r="M22" i="8"/>
  <c r="M32" i="8"/>
  <c r="L32" i="8"/>
  <c r="M3" i="8"/>
  <c r="L3" i="8"/>
  <c r="M13" i="8"/>
  <c r="L13" i="8"/>
  <c r="M23" i="8"/>
  <c r="L23" i="8"/>
  <c r="M33" i="8"/>
  <c r="L33" i="8"/>
  <c r="M4" i="8"/>
  <c r="L4" i="8"/>
  <c r="M14" i="8"/>
  <c r="L14" i="8"/>
  <c r="M24" i="8"/>
  <c r="L24" i="8"/>
  <c r="M34" i="8"/>
  <c r="L34" i="8"/>
  <c r="M5" i="8"/>
  <c r="L5" i="8"/>
  <c r="M15" i="8"/>
  <c r="L15" i="8"/>
  <c r="M25" i="8"/>
  <c r="L25" i="8"/>
  <c r="M35" i="8"/>
  <c r="L35" i="8"/>
  <c r="M6" i="8"/>
  <c r="L6" i="8"/>
  <c r="M16" i="8"/>
  <c r="L16" i="8"/>
  <c r="M26" i="8"/>
  <c r="L26" i="8"/>
  <c r="M36" i="8"/>
  <c r="L36" i="8"/>
  <c r="L7" i="8"/>
  <c r="M7" i="8"/>
  <c r="L17" i="8"/>
  <c r="M17" i="8"/>
  <c r="L27" i="8"/>
  <c r="M27" i="8"/>
  <c r="M37" i="8"/>
  <c r="L37" i="8"/>
  <c r="M8" i="8"/>
  <c r="L8" i="8"/>
  <c r="M18" i="8"/>
  <c r="L18" i="8"/>
  <c r="M28" i="8"/>
  <c r="L28" i="8"/>
  <c r="M38" i="8"/>
  <c r="L38" i="8"/>
  <c r="M9" i="8"/>
  <c r="L9" i="8"/>
  <c r="M19" i="8"/>
  <c r="L19" i="8"/>
  <c r="M29" i="8"/>
  <c r="L29" i="8"/>
  <c r="M39" i="8"/>
  <c r="L39" i="8"/>
</calcChain>
</file>

<file path=xl/sharedStrings.xml><?xml version="1.0" encoding="utf-8"?>
<sst xmlns="http://schemas.openxmlformats.org/spreadsheetml/2006/main" count="3109" uniqueCount="747">
  <si>
    <t/>
  </si>
  <si>
    <t>Textbook: New Effective Learning</t>
  </si>
  <si>
    <t>Textbook: Maths Smart</t>
  </si>
  <si>
    <t>Textbook: Inspiring Journey</t>
  </si>
  <si>
    <t>Textbook: Modern Secondary Mathematics</t>
  </si>
  <si>
    <t>Textbook: New Century</t>
  </si>
  <si>
    <t>Textbook: Maths in Action</t>
  </si>
  <si>
    <t>Basic Concept</t>
  </si>
  <si>
    <t>Chapter Diagnosis</t>
  </si>
  <si>
    <t>Date</t>
  </si>
  <si>
    <t>Exam Type Questions(MC)</t>
  </si>
  <si>
    <t>Exam Type Questions(LQ)</t>
  </si>
  <si>
    <t>Remarks</t>
  </si>
  <si>
    <t>F.1</t>
  </si>
  <si>
    <t>Remedial</t>
  </si>
  <si>
    <t>Still need improvement about the concept</t>
  </si>
  <si>
    <t xml:space="preserve">Good </t>
  </si>
  <si>
    <t>Quite Familier with the chapter</t>
  </si>
  <si>
    <t>Mastered</t>
  </si>
  <si>
    <t>Mastered most of the question types and concept</t>
  </si>
  <si>
    <t>F.2</t>
  </si>
  <si>
    <t>F.3</t>
  </si>
  <si>
    <t>More about Factorization of Polynomials</t>
  </si>
  <si>
    <t>續多項式的因式分解</t>
  </si>
  <si>
    <t>Linear Inequalities in One Unknown</t>
  </si>
  <si>
    <t>Textbook: Mathematics in Focus (2nd)</t>
  </si>
  <si>
    <t>Textbook: New Progress in Senior Mathematics</t>
  </si>
  <si>
    <t>Textbook: Maths Beyond</t>
  </si>
  <si>
    <t>Textbook: Mastering Mathematics (2nd Edition)</t>
  </si>
  <si>
    <t>Textbook: Mathematics in Action (3rd)</t>
  </si>
  <si>
    <t>Textbook: Maths Insight</t>
  </si>
  <si>
    <t>Road to DSE(MC)</t>
  </si>
  <si>
    <t>Road to DSE(LQ)</t>
  </si>
  <si>
    <t>F.4</t>
  </si>
  <si>
    <t>指數函數</t>
  </si>
  <si>
    <t>Logarithmic Functions</t>
  </si>
  <si>
    <t>F.5</t>
  </si>
  <si>
    <t>More about Equations</t>
  </si>
  <si>
    <t>不等式</t>
  </si>
  <si>
    <t>Equation of Circles</t>
  </si>
  <si>
    <t>Locus</t>
  </si>
  <si>
    <t>F.6</t>
  </si>
  <si>
    <t>Variations</t>
  </si>
  <si>
    <t>LQ A1</t>
  </si>
  <si>
    <t>LQ A2</t>
  </si>
  <si>
    <t>LQ B</t>
  </si>
  <si>
    <t>LQ A2 B</t>
  </si>
  <si>
    <t>DSE</t>
  </si>
  <si>
    <t>A1</t>
  </si>
  <si>
    <t>marks</t>
  </si>
  <si>
    <t>A2</t>
  </si>
  <si>
    <t>B</t>
  </si>
  <si>
    <t>Paper 1</t>
  </si>
  <si>
    <t>Paper 2</t>
  </si>
  <si>
    <t>%</t>
  </si>
  <si>
    <t>Grade</t>
  </si>
  <si>
    <t>Set</t>
  </si>
  <si>
    <t>Year</t>
  </si>
  <si>
    <t xml:space="preserve"> B</t>
  </si>
  <si>
    <t>Grade(Case 1)</t>
  </si>
  <si>
    <t>Grade(Case 2)</t>
  </si>
  <si>
    <t>Level 等級</t>
  </si>
  <si>
    <t>2026/176(%)</t>
  </si>
  <si>
    <t>2025/191(%)</t>
  </si>
  <si>
    <t>2024/176(%)</t>
  </si>
  <si>
    <t>2023/192(%)</t>
  </si>
  <si>
    <t>2022/179(%)</t>
  </si>
  <si>
    <t>2021/187(%)</t>
  </si>
  <si>
    <t>2020/182(%)</t>
  </si>
  <si>
    <t>2019/188(%)</t>
  </si>
  <si>
    <t>2018/190(%)</t>
  </si>
  <si>
    <t>2017/183(%)</t>
  </si>
  <si>
    <t>2016/183(%)</t>
  </si>
  <si>
    <t>2015/183(%)</t>
  </si>
  <si>
    <t>2014/184(%)</t>
  </si>
  <si>
    <t>2013/201(%)</t>
  </si>
  <si>
    <t>2012/198(%)</t>
  </si>
  <si>
    <t>5**</t>
  </si>
  <si>
    <t>167(95)</t>
  </si>
  <si>
    <t>172(90)</t>
  </si>
  <si>
    <t>173(90)</t>
  </si>
  <si>
    <t>168(94)</t>
  </si>
  <si>
    <t>169 (90)</t>
  </si>
  <si>
    <t>171 (94)</t>
  </si>
  <si>
    <t>170 (90)</t>
  </si>
  <si>
    <t>170 (93)</t>
  </si>
  <si>
    <t>171 (92)</t>
  </si>
  <si>
    <t>169 (93)</t>
  </si>
  <si>
    <t>170 (92)</t>
  </si>
  <si>
    <t>178 (89)</t>
  </si>
  <si>
    <t>184(89)</t>
  </si>
  <si>
    <t>5*</t>
  </si>
  <si>
    <t>156(89)</t>
  </si>
  <si>
    <t>159(83)</t>
  </si>
  <si>
    <t>158(82)</t>
  </si>
  <si>
    <t>156(87)</t>
  </si>
  <si>
    <t>157 (84)</t>
  </si>
  <si>
    <t>158 (87)</t>
  </si>
  <si>
    <t>158 (84)</t>
  </si>
  <si>
    <t>158 (83)</t>
  </si>
  <si>
    <t>159 (87)</t>
  </si>
  <si>
    <t>160 (86)</t>
  </si>
  <si>
    <t>160 (87)</t>
  </si>
  <si>
    <t>163 (81)</t>
  </si>
  <si>
    <t>162(82)</t>
  </si>
  <si>
    <t>5</t>
  </si>
  <si>
    <t>146(83)</t>
  </si>
  <si>
    <t>142(74)</t>
  </si>
  <si>
    <t>143(80)</t>
  </si>
  <si>
    <t>142 (76)</t>
  </si>
  <si>
    <t>144 (79)</t>
  </si>
  <si>
    <t>143 (76)</t>
  </si>
  <si>
    <t>145 (76)</t>
  </si>
  <si>
    <t>150 (82)</t>
  </si>
  <si>
    <t>146 (78)</t>
  </si>
  <si>
    <t>146 (80)</t>
  </si>
  <si>
    <t>146 (79)</t>
  </si>
  <si>
    <t>149 (74)</t>
  </si>
  <si>
    <t>156(79)</t>
  </si>
  <si>
    <t>4</t>
  </si>
  <si>
    <t>134(76)</t>
  </si>
  <si>
    <t>118(62)</t>
  </si>
  <si>
    <t>114(59)</t>
  </si>
  <si>
    <t>121(68)</t>
  </si>
  <si>
    <t>116 (62)</t>
  </si>
  <si>
    <t>113 (62)</t>
  </si>
  <si>
    <t>123 (65)</t>
  </si>
  <si>
    <t>119 (63)</t>
  </si>
  <si>
    <t>122 (67)</t>
  </si>
  <si>
    <t>122 (66)</t>
  </si>
  <si>
    <t>119 (65)</t>
  </si>
  <si>
    <t>120 (65)</t>
  </si>
  <si>
    <t>123 (61)</t>
  </si>
  <si>
    <t>134(67)</t>
  </si>
  <si>
    <t>3</t>
  </si>
  <si>
    <t>89(51)</t>
  </si>
  <si>
    <t>94(49)</t>
  </si>
  <si>
    <t>103(54)</t>
  </si>
  <si>
    <t>109(61)</t>
  </si>
  <si>
    <t>103 (55)</t>
  </si>
  <si>
    <t>111 (51)</t>
  </si>
  <si>
    <t>100 (53)</t>
  </si>
  <si>
    <t>105 (52)</t>
  </si>
  <si>
    <t>100 (55)</t>
  </si>
  <si>
    <t>110 (59)</t>
  </si>
  <si>
    <t>95(52)</t>
  </si>
  <si>
    <t>90(50)</t>
  </si>
  <si>
    <t>115(58)</t>
  </si>
  <si>
    <t>2</t>
  </si>
  <si>
    <t>64(33)</t>
  </si>
  <si>
    <t>87(49)</t>
  </si>
  <si>
    <t>68(36)</t>
  </si>
  <si>
    <t>66(36)</t>
  </si>
  <si>
    <t>67(36)</t>
  </si>
  <si>
    <t>69(36)</t>
  </si>
  <si>
    <t>73(36)</t>
  </si>
  <si>
    <t>72(36)</t>
  </si>
  <si>
    <t>Exam/UT/Quiz</t>
  </si>
  <si>
    <t xml:space="preserve">Textbook: </t>
  </si>
  <si>
    <t>M1</t>
  </si>
  <si>
    <t>Limits and Derivatives</t>
  </si>
  <si>
    <t>Applications of Differentiation</t>
  </si>
  <si>
    <t>M2</t>
  </si>
  <si>
    <t>數學歸納法</t>
  </si>
  <si>
    <t>More about Trigonometric Functions</t>
  </si>
  <si>
    <t>續三角函數</t>
  </si>
  <si>
    <t>Applications of Definite Integration</t>
  </si>
  <si>
    <t>Matrices and Determinants</t>
  </si>
  <si>
    <t>Scalar Products and Vector Products</t>
  </si>
  <si>
    <t>Quadratic Equations in One Unknown (I)</t>
    <phoneticPr fontId="1" type="noConversion"/>
  </si>
  <si>
    <t>Quadratic Equations in One Unknown (II)</t>
    <phoneticPr fontId="1" type="noConversion"/>
  </si>
  <si>
    <t>Functions and Graphs</t>
    <phoneticPr fontId="1" type="noConversion"/>
  </si>
  <si>
    <t>Exponential Functions</t>
    <phoneticPr fontId="1" type="noConversion"/>
  </si>
  <si>
    <t>More about Equations</t>
    <phoneticPr fontId="1" type="noConversion"/>
  </si>
  <si>
    <t>More about Trigonometry</t>
    <phoneticPr fontId="1" type="noConversion"/>
  </si>
  <si>
    <t>Logarithmic Functions</t>
    <phoneticPr fontId="1" type="noConversion"/>
  </si>
  <si>
    <t>Equations of Straight Lines</t>
    <phoneticPr fontId="1" type="noConversion"/>
  </si>
  <si>
    <t>More about Polynomials</t>
    <phoneticPr fontId="1" type="noConversion"/>
  </si>
  <si>
    <t>直線的方程</t>
    <phoneticPr fontId="1" type="noConversion"/>
  </si>
  <si>
    <t>對數函數</t>
    <phoneticPr fontId="1" type="noConversion"/>
  </si>
  <si>
    <t>指數函數</t>
    <phoneticPr fontId="1" type="noConversion"/>
  </si>
  <si>
    <t>續多項式</t>
    <phoneticPr fontId="1" type="noConversion"/>
  </si>
  <si>
    <t>續三角學</t>
    <phoneticPr fontId="1" type="noConversion"/>
  </si>
  <si>
    <t>續方程</t>
    <phoneticPr fontId="1" type="noConversion"/>
  </si>
  <si>
    <t>三角學的應用：二維空間</t>
    <phoneticPr fontId="1" type="noConversion"/>
  </si>
  <si>
    <t>Variations</t>
    <phoneticPr fontId="1" type="noConversion"/>
  </si>
  <si>
    <t>Basic Properties of Circles (I)</t>
    <phoneticPr fontId="1" type="noConversion"/>
  </si>
  <si>
    <t>More about Probability</t>
  </si>
  <si>
    <t>More about Probability</t>
    <phoneticPr fontId="1" type="noConversion"/>
  </si>
  <si>
    <t>Equations of Circles</t>
    <phoneticPr fontId="1" type="noConversion"/>
  </si>
  <si>
    <t>More about Inequalities</t>
    <phoneticPr fontId="1" type="noConversion"/>
  </si>
  <si>
    <t>Basic Properties of Circles (II)</t>
    <phoneticPr fontId="1" type="noConversion"/>
  </si>
  <si>
    <t>Locus</t>
    <phoneticPr fontId="1" type="noConversion"/>
  </si>
  <si>
    <t>Measures of Dispersion</t>
  </si>
  <si>
    <t>Measures of Dispersion</t>
    <phoneticPr fontId="1" type="noConversion"/>
  </si>
  <si>
    <t>Applications of Trigonometry in 3-Dimensional Problems</t>
    <phoneticPr fontId="1" type="noConversion"/>
  </si>
  <si>
    <t>Linear Programming</t>
    <phoneticPr fontId="1" type="noConversion"/>
  </si>
  <si>
    <t>排列與組合</t>
    <phoneticPr fontId="1" type="noConversion"/>
  </si>
  <si>
    <t>續概率</t>
    <phoneticPr fontId="1" type="noConversion"/>
  </si>
  <si>
    <t>續不等式</t>
    <phoneticPr fontId="1" type="noConversion"/>
  </si>
  <si>
    <t>軌跡</t>
    <phoneticPr fontId="1" type="noConversion"/>
  </si>
  <si>
    <t>圓的基本性質（二）</t>
    <phoneticPr fontId="1" type="noConversion"/>
  </si>
  <si>
    <t>圓的基本性質（一）</t>
    <phoneticPr fontId="1" type="noConversion"/>
  </si>
  <si>
    <t>圓的方程</t>
    <phoneticPr fontId="1" type="noConversion"/>
  </si>
  <si>
    <t>線性規畫</t>
    <phoneticPr fontId="1" type="noConversion"/>
  </si>
  <si>
    <t>Arithmetic and Geometric Sequences</t>
    <phoneticPr fontId="1" type="noConversion"/>
  </si>
  <si>
    <t>Summation of Arithmetic and Geometric Sequences</t>
    <phoneticPr fontId="1" type="noConversion"/>
  </si>
  <si>
    <t>Uses and Abuses of Statistics</t>
  </si>
  <si>
    <t>Uses and Abuses of Statistics</t>
    <phoneticPr fontId="1" type="noConversion"/>
  </si>
  <si>
    <t>More about Graphs of Functions</t>
  </si>
  <si>
    <t>More about Graphs of Functions</t>
    <phoneticPr fontId="1" type="noConversion"/>
  </si>
  <si>
    <t>統計的應用及誤用</t>
  </si>
  <si>
    <t>統計的應用及誤用</t>
    <phoneticPr fontId="1" type="noConversion"/>
  </si>
  <si>
    <t>續函數圖像</t>
    <phoneticPr fontId="1" type="noConversion"/>
  </si>
  <si>
    <t>等差數列和等比數列的求和法</t>
    <phoneticPr fontId="1" type="noConversion"/>
  </si>
  <si>
    <t>等差數列和等比數列</t>
    <phoneticPr fontId="1" type="noConversion"/>
  </si>
  <si>
    <t>Inequalities in One Unknown</t>
    <phoneticPr fontId="1" type="noConversion"/>
  </si>
  <si>
    <t>Permutations and Combinations</t>
  </si>
  <si>
    <t>Applications of Trigonometry in 2-dimensional Problems</t>
  </si>
  <si>
    <t>Applications of Trigonometry in 3-dimensional Problems</t>
  </si>
  <si>
    <t>三角學的應用：三維空間</t>
  </si>
  <si>
    <t>Arithmetic Sequences</t>
  </si>
  <si>
    <t>Geometric Sequences</t>
  </si>
  <si>
    <t>Linear Inequalities in Two Unknowns and Linear Programming</t>
  </si>
  <si>
    <t>等差數列</t>
  </si>
  <si>
    <t>等比數列</t>
  </si>
  <si>
    <t>二元一次不等式及線性規畫</t>
  </si>
  <si>
    <t>Basic Algebra (I)</t>
  </si>
  <si>
    <t>Basic Algebra (II)</t>
  </si>
  <si>
    <t>Percentages (I)</t>
  </si>
  <si>
    <t>Basic Geometry</t>
  </si>
  <si>
    <t>Mensuration (I)</t>
  </si>
  <si>
    <t>Rectangular Coordinate System (I)</t>
  </si>
  <si>
    <t>Angles and Parallel Lines (I)</t>
  </si>
  <si>
    <t>Congruence and Similarity (I)</t>
  </si>
  <si>
    <t>Numerical Estimation</t>
  </si>
  <si>
    <t>Organization and Presentation of Data (I)</t>
  </si>
  <si>
    <t>Basic Computation</t>
    <phoneticPr fontId="1" type="noConversion"/>
  </si>
  <si>
    <t>基礎計算</t>
    <phoneticPr fontId="1" type="noConversion"/>
  </si>
  <si>
    <t>Directed Numbers and the Number Line</t>
    <phoneticPr fontId="1" type="noConversion"/>
  </si>
  <si>
    <t>Basic Computation</t>
  </si>
  <si>
    <t>基礎計算</t>
  </si>
  <si>
    <t>Basic Mathematics</t>
  </si>
  <si>
    <t>基礎數學</t>
  </si>
  <si>
    <t>Directed Numbers</t>
    <phoneticPr fontId="1" type="noConversion"/>
  </si>
  <si>
    <t>有向數</t>
    <phoneticPr fontId="1" type="noConversion"/>
  </si>
  <si>
    <t>Introduction to Algebra</t>
    <phoneticPr fontId="1" type="noConversion"/>
  </si>
  <si>
    <t>代數簡介</t>
    <phoneticPr fontId="1" type="noConversion"/>
  </si>
  <si>
    <t>有向數</t>
  </si>
  <si>
    <t>有向數及數線</t>
    <phoneticPr fontId="1" type="noConversion"/>
  </si>
  <si>
    <t>Basic Algebra</t>
    <phoneticPr fontId="1" type="noConversion"/>
  </si>
  <si>
    <t>基礎代數</t>
    <phoneticPr fontId="1" type="noConversion"/>
  </si>
  <si>
    <t>Linear Equations in One Unknown</t>
    <phoneticPr fontId="1" type="noConversion"/>
  </si>
  <si>
    <t>一元一次方程</t>
    <phoneticPr fontId="1" type="noConversion"/>
  </si>
  <si>
    <t>Algebraic Expressions</t>
    <phoneticPr fontId="1" type="noConversion"/>
  </si>
  <si>
    <t>代數式</t>
    <phoneticPr fontId="1" type="noConversion"/>
  </si>
  <si>
    <t>Approximate Values and Numerical Estimation</t>
    <phoneticPr fontId="1" type="noConversion"/>
  </si>
  <si>
    <t>近似值與數值估算</t>
    <phoneticPr fontId="1" type="noConversion"/>
  </si>
  <si>
    <t>基礎代數 (一)</t>
  </si>
  <si>
    <t>Introduction to Geometry</t>
    <phoneticPr fontId="1" type="noConversion"/>
  </si>
  <si>
    <t>幾何簡介</t>
    <phoneticPr fontId="1" type="noConversion"/>
  </si>
  <si>
    <t>Linear Equations in One Unknown (I)</t>
    <phoneticPr fontId="1" type="noConversion"/>
  </si>
  <si>
    <t>一元一次方程 (一)</t>
    <phoneticPr fontId="1" type="noConversion"/>
  </si>
  <si>
    <t>基礎代數 (二)</t>
  </si>
  <si>
    <t>Basic Geometry</t>
    <phoneticPr fontId="1" type="noConversion"/>
  </si>
  <si>
    <t>基礎幾何</t>
    <phoneticPr fontId="1" type="noConversion"/>
  </si>
  <si>
    <t>Numerical Estimation</t>
    <phoneticPr fontId="1" type="noConversion"/>
  </si>
  <si>
    <t>數值估算</t>
    <phoneticPr fontId="1" type="noConversion"/>
  </si>
  <si>
    <t>Areas and Volumes (I)</t>
    <phoneticPr fontId="1" type="noConversion"/>
  </si>
  <si>
    <t>面積和體積 (一)</t>
    <phoneticPr fontId="1" type="noConversion"/>
  </si>
  <si>
    <t>Approximation and Numerical Estimation</t>
    <phoneticPr fontId="1" type="noConversion"/>
  </si>
  <si>
    <t>Polynomials</t>
    <phoneticPr fontId="1" type="noConversion"/>
  </si>
  <si>
    <t>多項式</t>
    <phoneticPr fontId="1" type="noConversion"/>
  </si>
  <si>
    <t>Linear Equations in Two Unknowns</t>
    <phoneticPr fontId="1" type="noConversion"/>
  </si>
  <si>
    <t>百分法 (一)</t>
  </si>
  <si>
    <t>Mensuration (I)</t>
    <phoneticPr fontId="1" type="noConversion"/>
  </si>
  <si>
    <t>求積法(一)</t>
    <phoneticPr fontId="1" type="noConversion"/>
  </si>
  <si>
    <t>Manipulations of Polynomials</t>
    <phoneticPr fontId="1" type="noConversion"/>
  </si>
  <si>
    <t>多項式的運算</t>
    <phoneticPr fontId="1" type="noConversion"/>
  </si>
  <si>
    <t>Area and Volume (1)</t>
    <phoneticPr fontId="1" type="noConversion"/>
  </si>
  <si>
    <t>面積和體積 (1)</t>
    <phoneticPr fontId="1" type="noConversion"/>
  </si>
  <si>
    <t>Laws of Integral Indices (I)</t>
    <phoneticPr fontId="1" type="noConversion"/>
  </si>
  <si>
    <t>整數指數律 (一)</t>
    <phoneticPr fontId="1" type="noConversion"/>
  </si>
  <si>
    <t>Introduction to Statistics and Statistical Charts</t>
    <phoneticPr fontId="1" type="noConversion"/>
  </si>
  <si>
    <t>統計學與統計圖表簡介</t>
    <phoneticPr fontId="1" type="noConversion"/>
  </si>
  <si>
    <t>Percentages</t>
    <phoneticPr fontId="1" type="noConversion"/>
  </si>
  <si>
    <t>百分法</t>
    <phoneticPr fontId="1" type="noConversion"/>
  </si>
  <si>
    <t>Linear Equations in One Unknown (II)</t>
    <phoneticPr fontId="1" type="noConversion"/>
  </si>
  <si>
    <t>一元一次方程 (二)</t>
    <phoneticPr fontId="1" type="noConversion"/>
  </si>
  <si>
    <t>Percentages (I)</t>
    <phoneticPr fontId="1" type="noConversion"/>
  </si>
  <si>
    <t>Polynomials (I)</t>
    <phoneticPr fontId="1" type="noConversion"/>
  </si>
  <si>
    <t>多項式 (一)</t>
    <phoneticPr fontId="1" type="noConversion"/>
  </si>
  <si>
    <t>求積法 (一)</t>
  </si>
  <si>
    <t>百分法 (一)</t>
    <phoneticPr fontId="1" type="noConversion"/>
  </si>
  <si>
    <t>Statistics (I)</t>
    <phoneticPr fontId="1" type="noConversion"/>
  </si>
  <si>
    <t>統計 (一)</t>
    <phoneticPr fontId="1" type="noConversion"/>
  </si>
  <si>
    <t>Angles Related to Straight Lines and Triangles</t>
    <phoneticPr fontId="1" type="noConversion"/>
  </si>
  <si>
    <t>與直線和三角形相關的角</t>
    <phoneticPr fontId="1" type="noConversion"/>
  </si>
  <si>
    <t>Coordinate Geometry (1)</t>
    <phoneticPr fontId="1" type="noConversion"/>
  </si>
  <si>
    <t>座標幾何 (1)</t>
    <phoneticPr fontId="1" type="noConversion"/>
  </si>
  <si>
    <t>直角坐標系 (一)</t>
  </si>
  <si>
    <t>Introduction to the Rectangular Coordinate System</t>
    <phoneticPr fontId="1" type="noConversion"/>
  </si>
  <si>
    <t>直角座標系簡介</t>
    <phoneticPr fontId="1" type="noConversion"/>
  </si>
  <si>
    <t>Percentages (1)</t>
    <phoneticPr fontId="1" type="noConversion"/>
  </si>
  <si>
    <t>百分法 (1)</t>
    <phoneticPr fontId="1" type="noConversion"/>
  </si>
  <si>
    <t>Rates, Ratios and Proportions</t>
    <phoneticPr fontId="1" type="noConversion"/>
  </si>
  <si>
    <t>率、比及比例</t>
    <phoneticPr fontId="1" type="noConversion"/>
  </si>
  <si>
    <t>角和平行線 (一)</t>
  </si>
  <si>
    <t>Angles and Parallel Lines</t>
    <phoneticPr fontId="1" type="noConversion"/>
  </si>
  <si>
    <t>角與平行線</t>
    <phoneticPr fontId="1" type="noConversion"/>
  </si>
  <si>
    <t>Introduction to Coordinates</t>
    <phoneticPr fontId="1" type="noConversion"/>
  </si>
  <si>
    <t>座標簡介</t>
    <phoneticPr fontId="1" type="noConversion"/>
  </si>
  <si>
    <t>Identities</t>
    <phoneticPr fontId="1" type="noConversion"/>
  </si>
  <si>
    <t>恆等式</t>
    <phoneticPr fontId="1" type="noConversion"/>
  </si>
  <si>
    <t>角和平行線</t>
    <phoneticPr fontId="1" type="noConversion"/>
  </si>
  <si>
    <t>全等及相似 (一)</t>
  </si>
  <si>
    <t>Manipulation of Simple Polynomials</t>
    <phoneticPr fontId="1" type="noConversion"/>
  </si>
  <si>
    <t>簡易多項式的運算</t>
    <phoneticPr fontId="1" type="noConversion"/>
  </si>
  <si>
    <t>Congruent Triangles</t>
    <phoneticPr fontId="1" type="noConversion"/>
  </si>
  <si>
    <t>全等三角形</t>
    <phoneticPr fontId="1" type="noConversion"/>
  </si>
  <si>
    <t>與直線和三角形有關的角</t>
    <phoneticPr fontId="1" type="noConversion"/>
  </si>
  <si>
    <t>Polygons</t>
    <phoneticPr fontId="1" type="noConversion"/>
  </si>
  <si>
    <t>多邊形</t>
    <phoneticPr fontId="1" type="noConversion"/>
  </si>
  <si>
    <t>數值估算</t>
  </si>
  <si>
    <t>Angles related to Lines</t>
    <phoneticPr fontId="1" type="noConversion"/>
  </si>
  <si>
    <t>與線相關的角</t>
    <phoneticPr fontId="1" type="noConversion"/>
  </si>
  <si>
    <t>統計學與統計圖簡介</t>
    <phoneticPr fontId="1" type="noConversion"/>
  </si>
  <si>
    <t>Statistical Charts (1)</t>
    <phoneticPr fontId="1" type="noConversion"/>
  </si>
  <si>
    <t>統計圖 (1)</t>
    <phoneticPr fontId="1" type="noConversion"/>
  </si>
  <si>
    <t>Rectangular Coordinate System (I)</t>
    <phoneticPr fontId="1" type="noConversion"/>
  </si>
  <si>
    <t>直角座標系 (一)</t>
    <phoneticPr fontId="1" type="noConversion"/>
  </si>
  <si>
    <t>數據的組織和表達 (一)</t>
  </si>
  <si>
    <t>Statistical Charts</t>
    <phoneticPr fontId="1" type="noConversion"/>
  </si>
  <si>
    <t>統計圖</t>
    <phoneticPr fontId="1" type="noConversion"/>
  </si>
  <si>
    <t>Organisation of Data</t>
    <phoneticPr fontId="1" type="noConversion"/>
  </si>
  <si>
    <t>數據的組織</t>
    <phoneticPr fontId="1" type="noConversion"/>
  </si>
  <si>
    <t>Rate, Ratio and Proportion</t>
    <phoneticPr fontId="1" type="noConversion"/>
  </si>
  <si>
    <t>Presentation of Data (I)</t>
    <phoneticPr fontId="1" type="noConversion"/>
  </si>
  <si>
    <t>數據的表達 (一)</t>
    <phoneticPr fontId="1" type="noConversion"/>
  </si>
  <si>
    <t>Textbook: Mathematics in Focus (2nd)</t>
    <phoneticPr fontId="1" type="noConversion"/>
  </si>
  <si>
    <t>Identities and Factorization</t>
    <phoneticPr fontId="1" type="noConversion"/>
  </si>
  <si>
    <t>恆等式與因式分解</t>
    <phoneticPr fontId="1" type="noConversion"/>
  </si>
  <si>
    <t>率、比和比例</t>
    <phoneticPr fontId="1" type="noConversion"/>
  </si>
  <si>
    <t>Algebraic Fractions and Formulae</t>
    <phoneticPr fontId="1" type="noConversion"/>
  </si>
  <si>
    <t>代數分數與公式</t>
    <phoneticPr fontId="1" type="noConversion"/>
  </si>
  <si>
    <t>二元一次方程</t>
    <phoneticPr fontId="1" type="noConversion"/>
  </si>
  <si>
    <t>Similar Triangles</t>
    <phoneticPr fontId="1" type="noConversion"/>
  </si>
  <si>
    <t>相似三角形</t>
    <phoneticPr fontId="1" type="noConversion"/>
  </si>
  <si>
    <t>Angles Related to Polygons</t>
    <phoneticPr fontId="1" type="noConversion"/>
  </si>
  <si>
    <t>與多邊形有關的角</t>
    <phoneticPr fontId="1" type="noConversion"/>
  </si>
  <si>
    <t>Pythagoras’ Theorem and Irrational Numbers</t>
    <phoneticPr fontId="1" type="noConversion"/>
  </si>
  <si>
    <t>畢氏定理與無理數</t>
    <phoneticPr fontId="1" type="noConversion"/>
  </si>
  <si>
    <t>Mensuration (II)</t>
    <phoneticPr fontId="1" type="noConversion"/>
  </si>
  <si>
    <t>求積法（二）</t>
    <phoneticPr fontId="1" type="noConversion"/>
  </si>
  <si>
    <t>Errors in Measurement</t>
    <phoneticPr fontId="1" type="noConversion"/>
  </si>
  <si>
    <t>量度的誤差</t>
    <phoneticPr fontId="1" type="noConversion"/>
  </si>
  <si>
    <t>Trigonometry</t>
    <phoneticPr fontId="1" type="noConversion"/>
  </si>
  <si>
    <t>三角學</t>
    <phoneticPr fontId="1" type="noConversion"/>
  </si>
  <si>
    <t>More about Statistical Charts</t>
    <phoneticPr fontId="1" type="noConversion"/>
  </si>
  <si>
    <t>續統計圖</t>
    <phoneticPr fontId="1" type="noConversion"/>
  </si>
  <si>
    <t>Similar Triangles</t>
  </si>
  <si>
    <t>相似三角形</t>
  </si>
  <si>
    <t>Rates, Ratios, and Proportions</t>
  </si>
  <si>
    <t>率、比及比例</t>
  </si>
  <si>
    <t>Factorization, Algebraic Fractions and Change of Subject</t>
  </si>
  <si>
    <t>因式分解、代數分數及主項變換</t>
  </si>
  <si>
    <t>Laws of Integral Indices (II)</t>
  </si>
  <si>
    <t>整數指數律（二）</t>
  </si>
  <si>
    <t>Approximation and Errors</t>
    <phoneticPr fontId="1" type="noConversion"/>
  </si>
  <si>
    <t>近似與誤差</t>
    <phoneticPr fontId="1" type="noConversion"/>
  </si>
  <si>
    <t>Errors in Measurement</t>
  </si>
  <si>
    <t>量度的誤差</t>
  </si>
  <si>
    <t>Angles Related to Triangles and Polygons</t>
    <phoneticPr fontId="1" type="noConversion"/>
  </si>
  <si>
    <t>與三角形及多邊形相關的角</t>
    <phoneticPr fontId="1" type="noConversion"/>
  </si>
  <si>
    <t>Simultaneous Equations</t>
    <phoneticPr fontId="1" type="noConversion"/>
  </si>
  <si>
    <t>聯立方程</t>
    <phoneticPr fontId="1" type="noConversion"/>
  </si>
  <si>
    <t>Polynomials (II)</t>
    <phoneticPr fontId="1" type="noConversion"/>
  </si>
  <si>
    <t>多項式（二）</t>
    <phoneticPr fontId="1" type="noConversion"/>
  </si>
  <si>
    <t>Operations and Factorization of Polynomials</t>
    <phoneticPr fontId="1" type="noConversion"/>
  </si>
  <si>
    <t>多項式的運算及因式分解</t>
    <phoneticPr fontId="1" type="noConversion"/>
  </si>
  <si>
    <t>恆等式及因式分解</t>
    <phoneticPr fontId="1" type="noConversion"/>
  </si>
  <si>
    <t>Measurement and Error</t>
    <phoneticPr fontId="1" type="noConversion"/>
  </si>
  <si>
    <t>量度與誤差</t>
    <phoneticPr fontId="1" type="noConversion"/>
  </si>
  <si>
    <t>Algebraic Fractions and Formulas</t>
    <phoneticPr fontId="1" type="noConversion"/>
  </si>
  <si>
    <t>Factorization of Polynomials</t>
    <phoneticPr fontId="1" type="noConversion"/>
  </si>
  <si>
    <t>多項式的因式分解</t>
    <phoneticPr fontId="1" type="noConversion"/>
  </si>
  <si>
    <t>Formulae</t>
    <phoneticPr fontId="1" type="noConversion"/>
  </si>
  <si>
    <t>公式</t>
    <phoneticPr fontId="1" type="noConversion"/>
  </si>
  <si>
    <t>代數分式及公式</t>
    <phoneticPr fontId="1" type="noConversion"/>
  </si>
  <si>
    <t>Angles related to Rectilinear Figures</t>
    <phoneticPr fontId="1" type="noConversion"/>
  </si>
  <si>
    <t>與直線圖形相關的角</t>
    <phoneticPr fontId="1" type="noConversion"/>
  </si>
  <si>
    <t>代數分數和公式</t>
    <phoneticPr fontId="1" type="noConversion"/>
  </si>
  <si>
    <t>畢氏定理</t>
    <phoneticPr fontId="1" type="noConversion"/>
  </si>
  <si>
    <t>Congruence</t>
    <phoneticPr fontId="1" type="noConversion"/>
  </si>
  <si>
    <t>全等</t>
    <phoneticPr fontId="1" type="noConversion"/>
  </si>
  <si>
    <t>Errors in Measurements</t>
    <phoneticPr fontId="1" type="noConversion"/>
  </si>
  <si>
    <t>Presentation of Data (II)</t>
    <phoneticPr fontId="1" type="noConversion"/>
  </si>
  <si>
    <t>數據的表達（二）</t>
    <phoneticPr fontId="1" type="noConversion"/>
  </si>
  <si>
    <t>Angles and Parallel Lines (II)</t>
    <phoneticPr fontId="1" type="noConversion"/>
  </si>
  <si>
    <t>角和平行線 (二)</t>
    <phoneticPr fontId="1" type="noConversion"/>
  </si>
  <si>
    <t>續統計圖表</t>
    <phoneticPr fontId="1" type="noConversion"/>
  </si>
  <si>
    <t>Statistics (II)</t>
    <phoneticPr fontId="1" type="noConversion"/>
  </si>
  <si>
    <t>統計 (二)</t>
    <phoneticPr fontId="1" type="noConversion"/>
  </si>
  <si>
    <t>Organization and Presentation of Data (II)</t>
    <phoneticPr fontId="1" type="noConversion"/>
  </si>
  <si>
    <t>數據的組織和表達 (二)</t>
    <phoneticPr fontId="1" type="noConversion"/>
  </si>
  <si>
    <t>Linear Inequalities in One Unknown</t>
    <phoneticPr fontId="1" type="noConversion"/>
  </si>
  <si>
    <t>一元一次不等式</t>
    <phoneticPr fontId="1" type="noConversion"/>
  </si>
  <si>
    <t>Laws of Integral Indices</t>
    <phoneticPr fontId="1" type="noConversion"/>
  </si>
  <si>
    <t>整數指數律</t>
    <phoneticPr fontId="1" type="noConversion"/>
  </si>
  <si>
    <t>Similarity</t>
    <phoneticPr fontId="1" type="noConversion"/>
  </si>
  <si>
    <t>相似</t>
    <phoneticPr fontId="1" type="noConversion"/>
  </si>
  <si>
    <t>Pythagoras' Theorem and Irrational Numbers</t>
    <phoneticPr fontId="1" type="noConversion"/>
  </si>
  <si>
    <t>畢氏定理和無理數</t>
    <phoneticPr fontId="1" type="noConversion"/>
  </si>
  <si>
    <t>Triangles and Polygons</t>
    <phoneticPr fontId="1" type="noConversion"/>
  </si>
  <si>
    <t>三角形與多邊形</t>
    <phoneticPr fontId="1" type="noConversion"/>
  </si>
  <si>
    <t>Congruence and Similarity (II)</t>
    <phoneticPr fontId="1" type="noConversion"/>
  </si>
  <si>
    <t>全等及相似 (二)</t>
    <phoneticPr fontId="1" type="noConversion"/>
  </si>
  <si>
    <t>Angles Related to Special Triangles and Polygons</t>
    <phoneticPr fontId="1" type="noConversion"/>
  </si>
  <si>
    <t>與特殊三角形和多邊形相關的角</t>
    <phoneticPr fontId="1" type="noConversion"/>
  </si>
  <si>
    <t>Trigonometry (1)</t>
    <phoneticPr fontId="1" type="noConversion"/>
  </si>
  <si>
    <t>三角學 (1)</t>
    <phoneticPr fontId="1" type="noConversion"/>
  </si>
  <si>
    <t>Rational and Irrational Numbers</t>
    <phoneticPr fontId="1" type="noConversion"/>
  </si>
  <si>
    <t>有理數與無理數</t>
    <phoneticPr fontId="1" type="noConversion"/>
  </si>
  <si>
    <t>Geometric Proof</t>
    <phoneticPr fontId="1" type="noConversion"/>
  </si>
  <si>
    <t>幾何證明</t>
    <phoneticPr fontId="1" type="noConversion"/>
  </si>
  <si>
    <t>Introduction to Trigonometry</t>
    <phoneticPr fontId="1" type="noConversion"/>
  </si>
  <si>
    <t>三角學簡介</t>
    <phoneticPr fontId="1" type="noConversion"/>
  </si>
  <si>
    <t>Area and Volume (2)</t>
    <phoneticPr fontId="1" type="noConversion"/>
  </si>
  <si>
    <t>面積和體積 (2)</t>
    <phoneticPr fontId="1" type="noConversion"/>
  </si>
  <si>
    <t>畢氏定理及無理數</t>
    <phoneticPr fontId="1" type="noConversion"/>
  </si>
  <si>
    <t>Areas and Volumes (II)</t>
    <phoneticPr fontId="1" type="noConversion"/>
  </si>
  <si>
    <t>面積和體積 (二)</t>
    <phoneticPr fontId="1" type="noConversion"/>
  </si>
  <si>
    <t>Statistical Charts (2)</t>
    <phoneticPr fontId="1" type="noConversion"/>
  </si>
  <si>
    <t>統計圖 (2)</t>
    <phoneticPr fontId="1" type="noConversion"/>
  </si>
  <si>
    <t>Arc Lengths and Areas of Sectors</t>
    <phoneticPr fontId="1" type="noConversion"/>
  </si>
  <si>
    <t>弧長和扇形面積</t>
    <phoneticPr fontId="1" type="noConversion"/>
  </si>
  <si>
    <t>認識三角學</t>
    <phoneticPr fontId="1" type="noConversion"/>
  </si>
  <si>
    <t>Trigonometric Ratios</t>
    <phoneticPr fontId="1" type="noConversion"/>
  </si>
  <si>
    <t>三角比</t>
    <phoneticPr fontId="1" type="noConversion"/>
  </si>
  <si>
    <t>Trigonometry (I)</t>
    <phoneticPr fontId="1" type="noConversion"/>
  </si>
  <si>
    <t>三角學（一）</t>
    <phoneticPr fontId="1" type="noConversion"/>
  </si>
  <si>
    <t>求積法 (二)</t>
    <phoneticPr fontId="1" type="noConversion"/>
  </si>
  <si>
    <t>Laws of Integral Indices</t>
  </si>
  <si>
    <t>整數指數定律</t>
    <phoneticPr fontId="1" type="noConversion"/>
  </si>
  <si>
    <t>More about Percentages</t>
    <phoneticPr fontId="1" type="noConversion"/>
  </si>
  <si>
    <t>續百分法</t>
    <phoneticPr fontId="1" type="noConversion"/>
  </si>
  <si>
    <t>More about Factorization</t>
    <phoneticPr fontId="1" type="noConversion"/>
  </si>
  <si>
    <t>續因式分解</t>
    <phoneticPr fontId="1" type="noConversion"/>
  </si>
  <si>
    <t>Quadrilaterals</t>
    <phoneticPr fontId="1" type="noConversion"/>
  </si>
  <si>
    <t>四邊形</t>
    <phoneticPr fontId="1" type="noConversion"/>
  </si>
  <si>
    <t>Coordinate Geometry</t>
    <phoneticPr fontId="1" type="noConversion"/>
  </si>
  <si>
    <t>座標幾何</t>
    <phoneticPr fontId="1" type="noConversion"/>
  </si>
  <si>
    <t>More About Trigonometry</t>
    <phoneticPr fontId="1" type="noConversion"/>
  </si>
  <si>
    <t>Centres of Triangles</t>
    <phoneticPr fontId="1" type="noConversion"/>
  </si>
  <si>
    <t>三角形的心</t>
    <phoneticPr fontId="1" type="noConversion"/>
  </si>
  <si>
    <t>Mensuration (III)</t>
    <phoneticPr fontId="1" type="noConversion"/>
  </si>
  <si>
    <t>求積法(三)</t>
    <phoneticPr fontId="1" type="noConversion"/>
  </si>
  <si>
    <t>Measures of Central Tendency</t>
    <phoneticPr fontId="1" type="noConversion"/>
  </si>
  <si>
    <t>集中趨勢的量度</t>
    <phoneticPr fontId="1" type="noConversion"/>
  </si>
  <si>
    <t>Probability</t>
    <phoneticPr fontId="1" type="noConversion"/>
  </si>
  <si>
    <t>概率</t>
    <phoneticPr fontId="1" type="noConversion"/>
  </si>
  <si>
    <t>續多項式的因式分解</t>
    <phoneticPr fontId="1" type="noConversion"/>
  </si>
  <si>
    <t>Inequalities</t>
    <phoneticPr fontId="1" type="noConversion"/>
  </si>
  <si>
    <t>Percentages (II)</t>
    <phoneticPr fontId="1" type="noConversion"/>
  </si>
  <si>
    <t>百分法（二）</t>
    <phoneticPr fontId="1" type="noConversion"/>
  </si>
  <si>
    <t>Percentages (2)</t>
    <phoneticPr fontId="1" type="noConversion"/>
  </si>
  <si>
    <t>百分法 (2)</t>
    <phoneticPr fontId="1" type="noConversion"/>
  </si>
  <si>
    <t>3-D Figures</t>
    <phoneticPr fontId="1" type="noConversion"/>
  </si>
  <si>
    <t>立體圖形</t>
    <phoneticPr fontId="1" type="noConversion"/>
  </si>
  <si>
    <t>百分法 (二)</t>
    <phoneticPr fontId="1" type="noConversion"/>
  </si>
  <si>
    <t>Area and Volume (3)</t>
    <phoneticPr fontId="1" type="noConversion"/>
  </si>
  <si>
    <t>面積和體積 (3)</t>
    <phoneticPr fontId="1" type="noConversion"/>
  </si>
  <si>
    <t>求積法（一）</t>
    <phoneticPr fontId="1" type="noConversion"/>
  </si>
  <si>
    <t>Areas and Volumes (III)</t>
    <phoneticPr fontId="1" type="noConversion"/>
  </si>
  <si>
    <t>面積和體積 (三)</t>
    <phoneticPr fontId="1" type="noConversion"/>
  </si>
  <si>
    <t>More about Geometric Proofs</t>
    <phoneticPr fontId="1" type="noConversion"/>
  </si>
  <si>
    <t>續幾何證明</t>
    <phoneticPr fontId="1" type="noConversion"/>
  </si>
  <si>
    <t>集中趨勢的度量</t>
    <phoneticPr fontId="1" type="noConversion"/>
  </si>
  <si>
    <t>Special Lines and Centres in a Triangle</t>
    <phoneticPr fontId="1" type="noConversion"/>
  </si>
  <si>
    <t>三角形的一些特殊的線和中心</t>
    <phoneticPr fontId="1" type="noConversion"/>
  </si>
  <si>
    <t>Trigonometric Relations</t>
    <phoneticPr fontId="1" type="noConversion"/>
  </si>
  <si>
    <t>三角比的關係</t>
    <phoneticPr fontId="1" type="noConversion"/>
  </si>
  <si>
    <t>Irrational Numbers and Surds</t>
    <phoneticPr fontId="1" type="noConversion"/>
  </si>
  <si>
    <t>無理數與根式</t>
    <phoneticPr fontId="1" type="noConversion"/>
  </si>
  <si>
    <t>More about Triangles</t>
    <phoneticPr fontId="1" type="noConversion"/>
  </si>
  <si>
    <t>續三角形</t>
    <phoneticPr fontId="1" type="noConversion"/>
  </si>
  <si>
    <t>Applications of Trigonometry</t>
    <phoneticPr fontId="1" type="noConversion"/>
  </si>
  <si>
    <t>三角學的應用</t>
    <phoneticPr fontId="1" type="noConversion"/>
  </si>
  <si>
    <t>Trigonometry (2)</t>
    <phoneticPr fontId="1" type="noConversion"/>
  </si>
  <si>
    <t>三角學 (2)</t>
    <phoneticPr fontId="1" type="noConversion"/>
  </si>
  <si>
    <t>Coordinate Geometry of Straight Lines</t>
    <phoneticPr fontId="1" type="noConversion"/>
  </si>
  <si>
    <t>直線的坐標幾何</t>
    <phoneticPr fontId="1" type="noConversion"/>
  </si>
  <si>
    <t>直線的座標幾何</t>
    <phoneticPr fontId="1" type="noConversion"/>
  </si>
  <si>
    <t>Coordinate Geometry (2)</t>
    <phoneticPr fontId="1" type="noConversion"/>
  </si>
  <si>
    <t>坐標幾何 (2)</t>
    <phoneticPr fontId="1" type="noConversion"/>
  </si>
  <si>
    <t>Rectangular Coordinate System (II)</t>
    <phoneticPr fontId="1" type="noConversion"/>
  </si>
  <si>
    <t>直角坐標系（二）</t>
    <phoneticPr fontId="1" type="noConversion"/>
  </si>
  <si>
    <t>More about 3-D Figures</t>
    <phoneticPr fontId="1" type="noConversion"/>
  </si>
  <si>
    <t>續立體圖形</t>
    <phoneticPr fontId="1" type="noConversion"/>
  </si>
  <si>
    <t>Centres of a Triangle</t>
    <phoneticPr fontId="1" type="noConversion"/>
  </si>
  <si>
    <t>Trigonometry (II)</t>
    <phoneticPr fontId="1" type="noConversion"/>
  </si>
  <si>
    <t>三角學（二）</t>
    <phoneticPr fontId="1" type="noConversion"/>
  </si>
  <si>
    <t>求積法 (三)</t>
    <phoneticPr fontId="1" type="noConversion"/>
  </si>
  <si>
    <t>Introduction to Probability</t>
    <phoneticPr fontId="1" type="noConversion"/>
  </si>
  <si>
    <t>概率簡介</t>
    <phoneticPr fontId="1" type="noConversion"/>
  </si>
  <si>
    <t>Trigonometry (III)</t>
    <phoneticPr fontId="1" type="noConversion"/>
  </si>
  <si>
    <t>三角學（三）</t>
    <phoneticPr fontId="1" type="noConversion"/>
  </si>
  <si>
    <t>Applications in Trigonometry</t>
    <phoneticPr fontId="1" type="noConversion"/>
  </si>
  <si>
    <t>直角坐標系 (二)</t>
    <phoneticPr fontId="1" type="noConversion"/>
  </si>
  <si>
    <t>Pythagoras' Theorem</t>
    <phoneticPr fontId="1" type="noConversion"/>
  </si>
  <si>
    <t>一元一次不等式</t>
    <phoneticPr fontId="1" type="noConversion"/>
  </si>
  <si>
    <t>數系</t>
    <phoneticPr fontId="1" type="noConversion"/>
  </si>
  <si>
    <t>一元二次方程（一）</t>
    <phoneticPr fontId="1" type="noConversion"/>
  </si>
  <si>
    <t>Quadratic Equations and Number Systems</t>
    <phoneticPr fontId="1" type="noConversion"/>
  </si>
  <si>
    <t>二次方程與數系</t>
    <phoneticPr fontId="1" type="noConversion"/>
  </si>
  <si>
    <t>Number System</t>
    <phoneticPr fontId="1" type="noConversion"/>
  </si>
  <si>
    <t>一元二次方程</t>
    <phoneticPr fontId="1" type="noConversion"/>
  </si>
  <si>
    <t>一元二次方程（二）</t>
    <phoneticPr fontId="1" type="noConversion"/>
  </si>
  <si>
    <t>Quadratic Equations in One Unknown</t>
    <phoneticPr fontId="1" type="noConversion"/>
  </si>
  <si>
    <t>直線方程</t>
    <phoneticPr fontId="1" type="noConversion"/>
  </si>
  <si>
    <t xml:space="preserve">Quadratic Equations in One Unknown(I) </t>
    <phoneticPr fontId="1" type="noConversion"/>
  </si>
  <si>
    <t>函數和函數的圖像</t>
    <phoneticPr fontId="1" type="noConversion"/>
  </si>
  <si>
    <t>Basic Knowledge of Functions</t>
    <phoneticPr fontId="1" type="noConversion"/>
  </si>
  <si>
    <t>函數的基本知識</t>
    <phoneticPr fontId="1" type="noConversion"/>
  </si>
  <si>
    <t xml:space="preserve">Quadratic Equations in One Unknown(II) </t>
    <phoneticPr fontId="1" type="noConversion"/>
  </si>
  <si>
    <t>函數及其圖像</t>
    <phoneticPr fontId="1" type="noConversion"/>
  </si>
  <si>
    <r>
      <t>函數及其圖像</t>
    </r>
    <r>
      <rPr>
        <sz val="12"/>
        <color theme="1"/>
        <rFont val="Aptos"/>
        <family val="2"/>
      </rPr>
      <t xml:space="preserve"> </t>
    </r>
    <phoneticPr fontId="1" type="noConversion"/>
  </si>
  <si>
    <t>Quadratic Functions and their Graphs</t>
    <phoneticPr fontId="1" type="noConversion"/>
  </si>
  <si>
    <t>二次函數及其圖像</t>
    <phoneticPr fontId="1" type="noConversion"/>
  </si>
  <si>
    <t>函數的基本認識</t>
    <phoneticPr fontId="1" type="noConversion"/>
  </si>
  <si>
    <r>
      <t>直線的方程</t>
    </r>
    <r>
      <rPr>
        <sz val="12"/>
        <color theme="1"/>
        <rFont val="Aptos"/>
        <family val="2"/>
      </rPr>
      <t xml:space="preserve"> </t>
    </r>
    <phoneticPr fontId="1" type="noConversion"/>
  </si>
  <si>
    <t>指數函數和對數函數</t>
    <phoneticPr fontId="1" type="noConversion"/>
  </si>
  <si>
    <t>Exponential and Logarithmic Functions</t>
    <phoneticPr fontId="1" type="noConversion"/>
  </si>
  <si>
    <t>指數及對數函數</t>
    <phoneticPr fontId="1" type="noConversion"/>
  </si>
  <si>
    <t>Quadratic Functions</t>
    <phoneticPr fontId="1" type="noConversion"/>
  </si>
  <si>
    <t>二次函數</t>
    <phoneticPr fontId="1" type="noConversion"/>
  </si>
  <si>
    <r>
      <t>續多項式</t>
    </r>
    <r>
      <rPr>
        <sz val="12"/>
        <color theme="1"/>
        <rFont val="Aptos"/>
        <family val="2"/>
      </rPr>
      <t xml:space="preserve"> </t>
    </r>
    <phoneticPr fontId="1" type="noConversion"/>
  </si>
  <si>
    <t>指數函數與對數函數</t>
    <phoneticPr fontId="1" type="noConversion"/>
  </si>
  <si>
    <t>Trigonometric Functions and their Graphs</t>
    <phoneticPr fontId="1" type="noConversion"/>
  </si>
  <si>
    <t>三角函數及其圖像</t>
    <phoneticPr fontId="1" type="noConversion"/>
  </si>
  <si>
    <t xml:space="preserve">Exponential Functions </t>
    <phoneticPr fontId="1" type="noConversion"/>
  </si>
  <si>
    <r>
      <t>指數函數</t>
    </r>
    <r>
      <rPr>
        <sz val="12"/>
        <color theme="1"/>
        <rFont val="Aptos"/>
        <family val="2"/>
      </rPr>
      <t xml:space="preserve"> </t>
    </r>
    <phoneticPr fontId="1" type="noConversion"/>
  </si>
  <si>
    <t>變分</t>
    <phoneticPr fontId="1" type="noConversion"/>
  </si>
  <si>
    <t>More about Quadratic Functions, Quadratic Equations and Complex Numbers</t>
    <phoneticPr fontId="1" type="noConversion"/>
  </si>
  <si>
    <t>續二次函數、二次方程及複數</t>
    <phoneticPr fontId="1" type="noConversion"/>
  </si>
  <si>
    <r>
      <t>對數函數</t>
    </r>
    <r>
      <rPr>
        <sz val="12"/>
        <color theme="1"/>
        <rFont val="Aptos"/>
        <family val="2"/>
      </rPr>
      <t xml:space="preserve"> </t>
    </r>
    <phoneticPr fontId="1" type="noConversion"/>
  </si>
  <si>
    <t>Rational Functions</t>
    <phoneticPr fontId="1" type="noConversion"/>
  </si>
  <si>
    <t>有理函數</t>
    <phoneticPr fontId="1" type="noConversion"/>
  </si>
  <si>
    <r>
      <t>續三角學</t>
    </r>
    <r>
      <rPr>
        <sz val="12"/>
        <color theme="1"/>
        <rFont val="Aptos"/>
        <family val="2"/>
      </rPr>
      <t xml:space="preserve"> </t>
    </r>
    <phoneticPr fontId="1" type="noConversion"/>
  </si>
  <si>
    <t xml:space="preserve">More about Equations </t>
    <phoneticPr fontId="1" type="noConversion"/>
  </si>
  <si>
    <t xml:space="preserve">Basic Properties of Circles (II) </t>
    <phoneticPr fontId="1" type="noConversion"/>
  </si>
  <si>
    <t>續三角</t>
    <phoneticPr fontId="1" type="noConversion"/>
  </si>
  <si>
    <t>Applications of Trigonometry in 2-Dimensional Problems</t>
    <phoneticPr fontId="1" type="noConversion"/>
  </si>
  <si>
    <r>
      <t>三角學的應用：二維空間</t>
    </r>
    <r>
      <rPr>
        <sz val="12"/>
        <color theme="1"/>
        <rFont val="Aptos"/>
        <family val="2"/>
      </rPr>
      <t xml:space="preserve"> </t>
    </r>
    <phoneticPr fontId="1" type="noConversion"/>
  </si>
  <si>
    <t xml:space="preserve">Trigonometric Functions </t>
    <phoneticPr fontId="1" type="noConversion"/>
  </si>
  <si>
    <t>三角函數</t>
    <phoneticPr fontId="1" type="noConversion"/>
  </si>
  <si>
    <t>不等式</t>
    <phoneticPr fontId="1" type="noConversion"/>
  </si>
  <si>
    <t>Basic Properties of Circles</t>
    <phoneticPr fontId="1" type="noConversion"/>
  </si>
  <si>
    <t>圓的基本性質</t>
    <phoneticPr fontId="1" type="noConversion"/>
  </si>
  <si>
    <t>Basic Trigonometry</t>
    <phoneticPr fontId="1" type="noConversion"/>
  </si>
  <si>
    <t>基本三角學</t>
    <phoneticPr fontId="1" type="noConversion"/>
  </si>
  <si>
    <t xml:space="preserve"> More about Equations</t>
    <phoneticPr fontId="1" type="noConversion"/>
  </si>
  <si>
    <r>
      <t>續方程</t>
    </r>
    <r>
      <rPr>
        <sz val="12"/>
        <color theme="1"/>
        <rFont val="Aptos"/>
        <family val="2"/>
      </rPr>
      <t xml:space="preserve"> </t>
    </r>
    <phoneticPr fontId="1" type="noConversion"/>
  </si>
  <si>
    <t>Textbook sol</t>
    <phoneticPr fontId="1" type="noConversion"/>
  </si>
  <si>
    <t>空的</t>
    <phoneticPr fontId="1" type="noConversion"/>
  </si>
  <si>
    <t>Logarithm and Logarithmic Functions</t>
    <phoneticPr fontId="1" type="noConversion"/>
  </si>
  <si>
    <t>對數與對數函數</t>
    <phoneticPr fontId="1" type="noConversion"/>
  </si>
  <si>
    <t>More about Basic Properties of Circles</t>
    <phoneticPr fontId="1" type="noConversion"/>
  </si>
  <si>
    <t>續圓的基本性質</t>
    <phoneticPr fontId="1" type="noConversion"/>
  </si>
  <si>
    <t>Solving Triangles and Trigonometric Equations</t>
    <phoneticPr fontId="1" type="noConversion"/>
  </si>
  <si>
    <t>解三角形及三角方程</t>
    <phoneticPr fontId="1" type="noConversion"/>
  </si>
  <si>
    <t>Textbook: Maths Smart</t>
    <phoneticPr fontId="1" type="noConversion"/>
  </si>
  <si>
    <t xml:space="preserve">Inequalities </t>
    <phoneticPr fontId="1" type="noConversion"/>
  </si>
  <si>
    <t>Compound Linear Inequalities in One Unknown</t>
    <phoneticPr fontId="1" type="noConversion"/>
  </si>
  <si>
    <t>一元一次複合不等式</t>
    <phoneticPr fontId="1" type="noConversion"/>
  </si>
  <si>
    <t xml:space="preserve">Basic Properties of Circles (I) </t>
    <phoneticPr fontId="1" type="noConversion"/>
  </si>
  <si>
    <t>Solving Equations and Inequalities by Graphical Method</t>
    <phoneticPr fontId="1" type="noConversion"/>
  </si>
  <si>
    <t>以圖像法解方程及不等式</t>
    <phoneticPr fontId="1" type="noConversion"/>
  </si>
  <si>
    <t xml:space="preserve">More about Inequalities </t>
    <phoneticPr fontId="1" type="noConversion"/>
  </si>
  <si>
    <t>一元不等式</t>
    <phoneticPr fontId="1" type="noConversion"/>
  </si>
  <si>
    <t>Tangents to Circles</t>
  </si>
  <si>
    <t>圓的切線</t>
    <phoneticPr fontId="1" type="noConversion"/>
  </si>
  <si>
    <t>Tangents to Circles</t>
    <phoneticPr fontId="1" type="noConversion"/>
  </si>
  <si>
    <t xml:space="preserve">圓的基本性質（一） </t>
    <phoneticPr fontId="1" type="noConversion"/>
  </si>
  <si>
    <t>離差的度量</t>
    <phoneticPr fontId="1" type="noConversion"/>
  </si>
  <si>
    <t xml:space="preserve">More about Graphs of Functions </t>
    <phoneticPr fontId="1" type="noConversion"/>
  </si>
  <si>
    <t>函數圖像的進一步認識</t>
    <phoneticPr fontId="1" type="noConversion"/>
  </si>
  <si>
    <t xml:space="preserve">圓的基本性質（二） </t>
    <phoneticPr fontId="1" type="noConversion"/>
  </si>
  <si>
    <t>Permutation and Combination</t>
    <phoneticPr fontId="1" type="noConversion"/>
  </si>
  <si>
    <t>離差的量度</t>
    <phoneticPr fontId="1" type="noConversion"/>
  </si>
  <si>
    <t>Linear Programming</t>
  </si>
  <si>
    <t xml:space="preserve">排列與組合 </t>
    <phoneticPr fontId="1" type="noConversion"/>
  </si>
  <si>
    <t>Loci and Equations of Circles</t>
    <phoneticPr fontId="1" type="noConversion"/>
  </si>
  <si>
    <t>軌跡與圓的方程</t>
    <phoneticPr fontId="1" type="noConversion"/>
  </si>
  <si>
    <t xml:space="preserve">More about Probability </t>
    <phoneticPr fontId="1" type="noConversion"/>
  </si>
  <si>
    <t>Applications of Trigonometry in 2-dimensional Problems</t>
    <phoneticPr fontId="1" type="noConversion"/>
  </si>
  <si>
    <t xml:space="preserve">續概率 </t>
    <phoneticPr fontId="1" type="noConversion"/>
  </si>
  <si>
    <t xml:space="preserve">Equations of Circles and Loci </t>
    <phoneticPr fontId="1" type="noConversion"/>
  </si>
  <si>
    <t>Applications of Trigonometry in 3-dimensional Problems</t>
    <phoneticPr fontId="1" type="noConversion"/>
  </si>
  <si>
    <t>三角學的應用：三維空間</t>
    <phoneticPr fontId="1" type="noConversion"/>
  </si>
  <si>
    <t xml:space="preserve">續不等式 </t>
    <phoneticPr fontId="1" type="noConversion"/>
  </si>
  <si>
    <t>More about Dispersion</t>
    <phoneticPr fontId="1" type="noConversion"/>
  </si>
  <si>
    <t>續離差</t>
    <phoneticPr fontId="1" type="noConversion"/>
  </si>
  <si>
    <t xml:space="preserve">圓的方程 </t>
    <phoneticPr fontId="1" type="noConversion"/>
  </si>
  <si>
    <t xml:space="preserve">線性規畫 </t>
    <phoneticPr fontId="1" type="noConversion"/>
  </si>
  <si>
    <t>線性規劃</t>
    <phoneticPr fontId="1" type="noConversion"/>
  </si>
  <si>
    <t>Locus and Equations of Circles</t>
    <phoneticPr fontId="1" type="noConversion"/>
  </si>
  <si>
    <t>軌跡及圓的方程</t>
    <phoneticPr fontId="1" type="noConversion"/>
  </si>
  <si>
    <t xml:space="preserve">離差的量度 </t>
    <phoneticPr fontId="1" type="noConversion"/>
  </si>
  <si>
    <t>Loci</t>
    <phoneticPr fontId="1" type="noConversion"/>
  </si>
  <si>
    <t xml:space="preserve">軌跡 </t>
    <phoneticPr fontId="1" type="noConversion"/>
  </si>
  <si>
    <t>More about Quadratic Inequalities</t>
    <phoneticPr fontId="1" type="noConversion"/>
  </si>
  <si>
    <t>續二次不等式</t>
    <phoneticPr fontId="1" type="noConversion"/>
  </si>
  <si>
    <t xml:space="preserve">三角學的應用： 三維空間 </t>
    <phoneticPr fontId="1" type="noConversion"/>
  </si>
  <si>
    <t>Concyclic Points and Tangents of Circles</t>
    <phoneticPr fontId="1" type="noConversion"/>
  </si>
  <si>
    <t>共圓點及圓的切線</t>
    <phoneticPr fontId="1" type="noConversion"/>
  </si>
  <si>
    <t>More about Equations of Circles</t>
    <phoneticPr fontId="1" type="noConversion"/>
  </si>
  <si>
    <t>續圓的方程</t>
    <phoneticPr fontId="1" type="noConversion"/>
  </si>
  <si>
    <t>等差數列及等比數列的求和法</t>
    <phoneticPr fontId="1" type="noConversion"/>
  </si>
  <si>
    <t>圓的方程和軌跡</t>
    <phoneticPr fontId="1" type="noConversion"/>
  </si>
  <si>
    <t>三角學在二維空間的應用</t>
    <phoneticPr fontId="1" type="noConversion"/>
  </si>
  <si>
    <t>三角學在三維空間的應用</t>
    <phoneticPr fontId="1" type="noConversion"/>
  </si>
  <si>
    <t>Arithmetic Sequences</t>
    <phoneticPr fontId="1" type="noConversion"/>
  </si>
  <si>
    <t>Geometric Sequences</t>
    <phoneticPr fontId="1" type="noConversion"/>
  </si>
  <si>
    <t>Textbook: Senior Secondary Oxford Math for the New Century</t>
    <phoneticPr fontId="1" type="noConversion"/>
  </si>
  <si>
    <t>Textbook: HKDSE Mathematics in Action (Extended Part)</t>
    <phoneticPr fontId="1" type="noConversion"/>
  </si>
  <si>
    <t>Textbook:Mathematics in Focus</t>
    <phoneticPr fontId="1" type="noConversion"/>
  </si>
  <si>
    <t>Textbook: New Progress in Senior Mathematics</t>
    <phoneticPr fontId="1" type="noConversion"/>
  </si>
  <si>
    <t>Binomial Expansion</t>
    <phoneticPr fontId="1" type="noConversion"/>
  </si>
  <si>
    <t>二項展開式</t>
  </si>
  <si>
    <t>Foundation Knowledge</t>
    <phoneticPr fontId="1" type="noConversion"/>
  </si>
  <si>
    <t>基礎知識</t>
    <phoneticPr fontId="1" type="noConversion"/>
  </si>
  <si>
    <t>Binomial Theorem</t>
    <phoneticPr fontId="1" type="noConversion"/>
  </si>
  <si>
    <t>二項式定理</t>
    <phoneticPr fontId="1" type="noConversion"/>
  </si>
  <si>
    <t>Exponential Functions and Logarithmic Functions</t>
    <phoneticPr fontId="1" type="noConversion"/>
  </si>
  <si>
    <t>Limit</t>
    <phoneticPr fontId="1" type="noConversion"/>
  </si>
  <si>
    <t>極限</t>
    <phoneticPr fontId="1" type="noConversion"/>
  </si>
  <si>
    <t>Derivatives of Functions</t>
    <phoneticPr fontId="1" type="noConversion"/>
  </si>
  <si>
    <t>函數的導數</t>
    <phoneticPr fontId="1" type="noConversion"/>
  </si>
  <si>
    <t>Differentiation</t>
    <phoneticPr fontId="1" type="noConversion"/>
  </si>
  <si>
    <t>微分法</t>
    <phoneticPr fontId="1" type="noConversion"/>
  </si>
  <si>
    <t>Limits and Derivatives</t>
    <phoneticPr fontId="1" type="noConversion"/>
  </si>
  <si>
    <t>極限與導數</t>
    <phoneticPr fontId="1" type="noConversion"/>
  </si>
  <si>
    <t>求導法</t>
    <phoneticPr fontId="1" type="noConversion"/>
  </si>
  <si>
    <t>Applications of Differentiation</t>
    <phoneticPr fontId="1" type="noConversion"/>
  </si>
  <si>
    <t>微分法的應用</t>
    <phoneticPr fontId="1" type="noConversion"/>
  </si>
  <si>
    <t>求導法的應用</t>
    <phoneticPr fontId="1" type="noConversion"/>
  </si>
  <si>
    <t>Indefinite Integrals</t>
    <phoneticPr fontId="1" type="noConversion"/>
  </si>
  <si>
    <t>不定積分</t>
    <phoneticPr fontId="1" type="noConversion"/>
  </si>
  <si>
    <t>Indefinite Integration and Its Applications</t>
    <phoneticPr fontId="1" type="noConversion"/>
  </si>
  <si>
    <t>不定積分法及其應用</t>
    <phoneticPr fontId="1" type="noConversion"/>
  </si>
  <si>
    <t>Definite Integrals (I)</t>
    <phoneticPr fontId="1" type="noConversion"/>
  </si>
  <si>
    <t>定積分 (一)</t>
    <phoneticPr fontId="1" type="noConversion"/>
  </si>
  <si>
    <t>Definite Integration and Its Applications</t>
    <phoneticPr fontId="1" type="noConversion"/>
  </si>
  <si>
    <t>定積分法及其應用</t>
    <phoneticPr fontId="1" type="noConversion"/>
  </si>
  <si>
    <t>Definite Integrals (II)</t>
    <phoneticPr fontId="1" type="noConversion"/>
  </si>
  <si>
    <t>定積分 (二)</t>
    <phoneticPr fontId="1" type="noConversion"/>
  </si>
  <si>
    <t>Definite Integrals</t>
    <phoneticPr fontId="1" type="noConversion"/>
  </si>
  <si>
    <t>定積分</t>
    <phoneticPr fontId="1" type="noConversion"/>
  </si>
  <si>
    <t>Conditional Probability and Bayes’ Theorem</t>
    <phoneticPr fontId="1" type="noConversion"/>
  </si>
  <si>
    <t>條件概率及貝葉斯定理</t>
    <phoneticPr fontId="1" type="noConversion"/>
  </si>
  <si>
    <t>Further Probability</t>
    <phoneticPr fontId="1" type="noConversion"/>
  </si>
  <si>
    <t>進階概率</t>
    <phoneticPr fontId="1" type="noConversion"/>
  </si>
  <si>
    <t>Applications of Definite Integrals</t>
    <phoneticPr fontId="1" type="noConversion"/>
  </si>
  <si>
    <t>定積分的應用</t>
    <phoneticPr fontId="1" type="noConversion"/>
  </si>
  <si>
    <t>Discrete Random Variables and Probability Distributions</t>
    <phoneticPr fontId="1" type="noConversion"/>
  </si>
  <si>
    <t>離散隨機變量及概率分布</t>
    <phoneticPr fontId="1" type="noConversion"/>
  </si>
  <si>
    <t>Discrete Probability Distributions</t>
    <phoneticPr fontId="1" type="noConversion"/>
  </si>
  <si>
    <t>離散概率分佈</t>
    <phoneticPr fontId="1" type="noConversion"/>
  </si>
  <si>
    <t>The Binomial Distribution and Its Applications</t>
    <phoneticPr fontId="1" type="noConversion"/>
  </si>
  <si>
    <t>二項分布及其應用</t>
    <phoneticPr fontId="1" type="noConversion"/>
  </si>
  <si>
    <t>Bernoulli, Geometric, Binomial and Poisson Distributions</t>
    <phoneticPr fontId="1" type="noConversion"/>
  </si>
  <si>
    <t>伯努利、幾何、二項和泊松分佈</t>
    <phoneticPr fontId="1" type="noConversion"/>
  </si>
  <si>
    <t>Discrete Random Variables</t>
    <phoneticPr fontId="1" type="noConversion"/>
  </si>
  <si>
    <t>離散隨機變量</t>
    <phoneticPr fontId="1" type="noConversion"/>
  </si>
  <si>
    <t>The Poisson Distribution and Its Applications</t>
    <phoneticPr fontId="1" type="noConversion"/>
  </si>
  <si>
    <t>泊松分布及其應用</t>
    <phoneticPr fontId="1" type="noConversion"/>
  </si>
  <si>
    <t>Normal Distribution</t>
    <phoneticPr fontId="1" type="noConversion"/>
  </si>
  <si>
    <t>正態分佈</t>
    <phoneticPr fontId="1" type="noConversion"/>
  </si>
  <si>
    <t>Binomial Distribution</t>
    <phoneticPr fontId="1" type="noConversion"/>
  </si>
  <si>
    <t>二項分佈</t>
    <phoneticPr fontId="1" type="noConversion"/>
  </si>
  <si>
    <t xml:space="preserve"> The Normal Distribution and Its Applications</t>
    <phoneticPr fontId="1" type="noConversion"/>
  </si>
  <si>
    <t>正態分布及其應用</t>
    <phoneticPr fontId="1" type="noConversion"/>
  </si>
  <si>
    <t>Sampling Distribution and Point Estimates</t>
    <phoneticPr fontId="1" type="noConversion"/>
  </si>
  <si>
    <t>抽樣分佈和點估計</t>
    <phoneticPr fontId="1" type="noConversion"/>
  </si>
  <si>
    <t>Geometric Distribution</t>
    <phoneticPr fontId="1" type="noConversion"/>
  </si>
  <si>
    <t>幾何分佈</t>
    <phoneticPr fontId="1" type="noConversion"/>
  </si>
  <si>
    <t>Sampling Distribution, Point Estimation and Interval Estimation</t>
    <phoneticPr fontId="1" type="noConversion"/>
  </si>
  <si>
    <t>抽樣分布、點估計及區間估計</t>
    <phoneticPr fontId="1" type="noConversion"/>
  </si>
  <si>
    <t>Confidence Interval</t>
    <phoneticPr fontId="1" type="noConversion"/>
  </si>
  <si>
    <t>置信區間</t>
    <phoneticPr fontId="1" type="noConversion"/>
  </si>
  <si>
    <t>Poisson Distribution</t>
    <phoneticPr fontId="1" type="noConversion"/>
  </si>
  <si>
    <t>泊松分佈</t>
    <phoneticPr fontId="1" type="noConversion"/>
  </si>
  <si>
    <t>??</t>
    <phoneticPr fontId="1" type="noConversion"/>
  </si>
  <si>
    <t>抽樣分佈及點估計</t>
    <phoneticPr fontId="1" type="noConversion"/>
  </si>
  <si>
    <t>Ebook</t>
    <phoneticPr fontId="1" type="noConversion"/>
  </si>
  <si>
    <t>Set E</t>
    <phoneticPr fontId="1" type="noConversion"/>
  </si>
  <si>
    <t>Set C</t>
    <phoneticPr fontId="1" type="noConversion"/>
  </si>
  <si>
    <t>Set B</t>
    <phoneticPr fontId="1" type="noConversion"/>
  </si>
  <si>
    <t>Set D</t>
    <phoneticPr fontId="1" type="noConversion"/>
  </si>
  <si>
    <t>Mathematical Induction</t>
    <phoneticPr fontId="1" type="noConversion"/>
  </si>
  <si>
    <t>Foundation Knowledge (I)</t>
    <phoneticPr fontId="1" type="noConversion"/>
  </si>
  <si>
    <t>基礎知識 (一)</t>
    <phoneticPr fontId="1" type="noConversion"/>
  </si>
  <si>
    <t>數學歸納法</t>
    <phoneticPr fontId="1" type="noConversion"/>
  </si>
  <si>
    <t>Foundation Knowledge (II)</t>
    <phoneticPr fontId="1" type="noConversion"/>
  </si>
  <si>
    <t>基礎知識 (二)</t>
    <phoneticPr fontId="1" type="noConversion"/>
  </si>
  <si>
    <t>More about Trigonometric Functions</t>
    <phoneticPr fontId="1" type="noConversion"/>
  </si>
  <si>
    <t>續三角函數</t>
    <phoneticPr fontId="1" type="noConversion"/>
  </si>
  <si>
    <t>Limits and the Number e</t>
    <phoneticPr fontId="1" type="noConversion"/>
  </si>
  <si>
    <t>極限及數e</t>
    <phoneticPr fontId="1" type="noConversion"/>
  </si>
  <si>
    <t>Differentiation (I)</t>
    <phoneticPr fontId="1" type="noConversion"/>
  </si>
  <si>
    <t>微分法 (一)</t>
    <phoneticPr fontId="1" type="noConversion"/>
  </si>
  <si>
    <t>Differentiation (II)</t>
    <phoneticPr fontId="1" type="noConversion"/>
  </si>
  <si>
    <t>微分法 (二)</t>
    <phoneticPr fontId="1" type="noConversion"/>
  </si>
  <si>
    <t>Differentiation (1)</t>
    <phoneticPr fontId="1" type="noConversion"/>
  </si>
  <si>
    <t>求導法 (1)</t>
  </si>
  <si>
    <t>Differentiation (2)</t>
  </si>
  <si>
    <t>求導法 (2)</t>
    <phoneticPr fontId="1" type="noConversion"/>
  </si>
  <si>
    <t>Indefinite Integration</t>
    <phoneticPr fontId="1" type="noConversion"/>
  </si>
  <si>
    <t>不定積分法</t>
    <phoneticPr fontId="1" type="noConversion"/>
  </si>
  <si>
    <t>Indefinite Integrals (I)</t>
    <phoneticPr fontId="1" type="noConversion"/>
  </si>
  <si>
    <t>不定積分 (一)</t>
    <phoneticPr fontId="1" type="noConversion"/>
  </si>
  <si>
    <t>Definite Integration</t>
    <phoneticPr fontId="1" type="noConversion"/>
  </si>
  <si>
    <t>定積分法</t>
    <phoneticPr fontId="1" type="noConversion"/>
  </si>
  <si>
    <t>Indefinite Integrals (II)</t>
    <phoneticPr fontId="1" type="noConversion"/>
  </si>
  <si>
    <t>不定積分 (二)</t>
    <phoneticPr fontId="1" type="noConversion"/>
  </si>
  <si>
    <t>Indefinite Integrals</t>
  </si>
  <si>
    <t>定積分法的應用</t>
    <phoneticPr fontId="1" type="noConversion"/>
  </si>
  <si>
    <t>Definite Integrals</t>
  </si>
  <si>
    <t>矩陣及行列式</t>
    <phoneticPr fontId="1" type="noConversion"/>
  </si>
  <si>
    <t>Systems of Linear Equations</t>
    <phoneticPr fontId="1" type="noConversion"/>
  </si>
  <si>
    <t>線性方程組</t>
    <phoneticPr fontId="1" type="noConversion"/>
  </si>
  <si>
    <t>Determinants and Matrices</t>
    <phoneticPr fontId="1" type="noConversion"/>
  </si>
  <si>
    <t>行列式和矩陣</t>
    <phoneticPr fontId="1" type="noConversion"/>
  </si>
  <si>
    <t>Matrices and Determinants</t>
    <phoneticPr fontId="1" type="noConversion"/>
  </si>
  <si>
    <t>Introduction to Vectors</t>
    <phoneticPr fontId="1" type="noConversion"/>
  </si>
  <si>
    <t>向量簡介</t>
    <phoneticPr fontId="1" type="noConversion"/>
  </si>
  <si>
    <t>System of Linear Equations</t>
  </si>
  <si>
    <t>純量積及向量積</t>
    <phoneticPr fontId="1" type="noConversion"/>
  </si>
  <si>
    <t>Vectors</t>
    <phoneticPr fontId="1" type="noConversion"/>
  </si>
  <si>
    <t>向量</t>
    <phoneticPr fontId="1" type="noConversion"/>
  </si>
  <si>
    <t>Vectors in Two-dimensional Space</t>
  </si>
  <si>
    <t>二維空間的向量</t>
    <phoneticPr fontId="1" type="noConversion"/>
  </si>
  <si>
    <t>Applications of Vectors</t>
    <phoneticPr fontId="1" type="noConversion"/>
  </si>
  <si>
    <t>向量的應用</t>
    <phoneticPr fontId="1" type="noConversion"/>
  </si>
  <si>
    <t>Vectors in Three-dimensional Space</t>
  </si>
  <si>
    <t>三維空間的向量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</si>
</sst>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ptos"/>
      <family val="2"/>
    </font>
    <font>
      <sz val="12"/>
      <color theme="1"/>
      <name val="新細明體"/>
      <family val="1"/>
      <charset val="136"/>
    </font>
    <font>
      <sz val="12"/>
      <color rgb="FF1F1F1F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rgb="FF1F1F1F"/>
      <name val="新細明體"/>
      <family val="1"/>
      <charset val="136"/>
      <scheme val="major"/>
    </font>
    <font>
      <sz val="11"/>
      <color theme="1"/>
      <name val="Times New Roman"/>
      <family val="1"/>
    </font>
    <font>
      <sz val="12"/>
      <color theme="1"/>
      <name val="新細明體"/>
      <family val="1"/>
      <charset val="136"/>
      <scheme val="major"/>
    </font>
    <font>
      <sz val="12"/>
      <color rgb="FF000000"/>
      <name val="新細明體"/>
      <family val="1"/>
      <charset val="136"/>
      <scheme val="major"/>
    </font>
    <font>
      <sz val="12"/>
      <color theme="1"/>
      <name val="Arial"/>
      <family val="2"/>
    </font>
    <font>
      <sz val="11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 readingOrder="1"/>
    </xf>
    <xf numFmtId="0" fontId="0" fillId="2" borderId="0" xfId="0" applyFill="1"/>
    <xf numFmtId="0" fontId="4" fillId="0" borderId="0" xfId="0" applyFont="1" applyAlignment="1">
      <alignment vertical="center" readingOrder="1"/>
    </xf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/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0" borderId="0" xfId="0" applyFill="1"/>
    <xf numFmtId="0" fontId="10" fillId="0" borderId="0" xfId="0" applyFont="1" applyFill="1" applyAlignment="1">
      <alignment horizontal="center" vertical="center" wrapText="1"/>
    </xf>
    <xf numFmtId="0" fontId="8" fillId="4" borderId="0" xfId="0" applyFont="1" applyFill="1"/>
    <xf numFmtId="0" fontId="10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workbookViewId="0">
      <selection activeCell="B14" sqref="B14"/>
    </sheetView>
  </sheetViews>
  <sheetFormatPr defaultColWidth="11" defaultRowHeight="16.5" x14ac:dyDescent="0.25"/>
  <cols>
    <col min="2" max="15" width="15.375" customWidth="1"/>
  </cols>
  <sheetData>
    <row r="1" spans="1:23" ht="49.5" x14ac:dyDescent="0.25">
      <c r="A1" s="1" t="s">
        <v>0</v>
      </c>
      <c r="B1" s="1" t="s">
        <v>1</v>
      </c>
      <c r="C1" s="1" t="s">
        <v>1</v>
      </c>
      <c r="D1" s="1" t="s">
        <v>339</v>
      </c>
      <c r="E1" s="1" t="s">
        <v>25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9</v>
      </c>
      <c r="U1" s="1" t="s">
        <v>11</v>
      </c>
      <c r="V1" s="1" t="s">
        <v>9</v>
      </c>
      <c r="W1" s="1" t="s">
        <v>12</v>
      </c>
    </row>
    <row r="2" spans="1:23" x14ac:dyDescent="0.25">
      <c r="A2" s="1" t="s">
        <v>13</v>
      </c>
      <c r="B2" s="5" t="s">
        <v>237</v>
      </c>
      <c r="C2" t="s">
        <v>238</v>
      </c>
      <c r="D2" t="s">
        <v>240</v>
      </c>
      <c r="E2" t="s">
        <v>238</v>
      </c>
      <c r="F2" t="s">
        <v>237</v>
      </c>
      <c r="G2" t="s">
        <v>241</v>
      </c>
      <c r="H2" t="s">
        <v>240</v>
      </c>
      <c r="I2" t="s">
        <v>241</v>
      </c>
      <c r="J2" t="s">
        <v>237</v>
      </c>
      <c r="K2" t="s">
        <v>241</v>
      </c>
      <c r="L2" s="3" t="s">
        <v>237</v>
      </c>
      <c r="M2" t="s">
        <v>238</v>
      </c>
      <c r="N2" t="s">
        <v>242</v>
      </c>
      <c r="O2" t="s">
        <v>243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</row>
    <row r="3" spans="1:23" x14ac:dyDescent="0.25">
      <c r="A3" s="1" t="s">
        <v>0</v>
      </c>
      <c r="B3" s="5" t="s">
        <v>244</v>
      </c>
      <c r="C3" t="s">
        <v>245</v>
      </c>
      <c r="D3" t="s">
        <v>244</v>
      </c>
      <c r="E3" t="s">
        <v>245</v>
      </c>
      <c r="F3" t="s">
        <v>244</v>
      </c>
      <c r="G3" t="s">
        <v>245</v>
      </c>
      <c r="H3" t="s">
        <v>244</v>
      </c>
      <c r="I3" t="s">
        <v>245</v>
      </c>
      <c r="J3" t="s">
        <v>244</v>
      </c>
      <c r="K3" t="s">
        <v>245</v>
      </c>
      <c r="L3" s="3" t="s">
        <v>244</v>
      </c>
      <c r="M3" t="s">
        <v>248</v>
      </c>
      <c r="N3" t="s">
        <v>239</v>
      </c>
      <c r="O3" t="s">
        <v>249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</row>
    <row r="4" spans="1:23" x14ac:dyDescent="0.25">
      <c r="A4" s="1" t="s">
        <v>0</v>
      </c>
      <c r="B4" s="5" t="s">
        <v>250</v>
      </c>
      <c r="C4" t="s">
        <v>251</v>
      </c>
      <c r="D4" t="s">
        <v>254</v>
      </c>
      <c r="E4" t="s">
        <v>255</v>
      </c>
      <c r="F4" t="s">
        <v>246</v>
      </c>
      <c r="G4" t="s">
        <v>247</v>
      </c>
      <c r="H4" t="s">
        <v>254</v>
      </c>
      <c r="I4" t="s">
        <v>255</v>
      </c>
      <c r="J4" t="s">
        <v>256</v>
      </c>
      <c r="K4" t="s">
        <v>257</v>
      </c>
      <c r="L4" s="3" t="s">
        <v>227</v>
      </c>
      <c r="M4" t="s">
        <v>258</v>
      </c>
      <c r="N4" t="s">
        <v>246</v>
      </c>
      <c r="O4" t="s">
        <v>247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</row>
    <row r="5" spans="1:23" x14ac:dyDescent="0.25">
      <c r="A5" s="1" t="s">
        <v>0</v>
      </c>
      <c r="B5" s="5" t="s">
        <v>252</v>
      </c>
      <c r="C5" t="s">
        <v>253</v>
      </c>
      <c r="D5" t="s">
        <v>261</v>
      </c>
      <c r="E5" t="s">
        <v>262</v>
      </c>
      <c r="F5" t="s">
        <v>252</v>
      </c>
      <c r="G5" t="s">
        <v>253</v>
      </c>
      <c r="H5" t="s">
        <v>252</v>
      </c>
      <c r="I5" t="s">
        <v>253</v>
      </c>
      <c r="J5" t="s">
        <v>254</v>
      </c>
      <c r="K5" t="s">
        <v>255</v>
      </c>
      <c r="L5" s="3" t="s">
        <v>228</v>
      </c>
      <c r="M5" t="s">
        <v>263</v>
      </c>
      <c r="N5" t="s">
        <v>252</v>
      </c>
      <c r="O5" t="s">
        <v>253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</row>
    <row r="6" spans="1:23" x14ac:dyDescent="0.25">
      <c r="A6" s="1" t="s">
        <v>0</v>
      </c>
      <c r="B6" s="5" t="s">
        <v>264</v>
      </c>
      <c r="C6" t="s">
        <v>265</v>
      </c>
      <c r="D6" t="s">
        <v>268</v>
      </c>
      <c r="E6" t="s">
        <v>269</v>
      </c>
      <c r="F6" t="s">
        <v>270</v>
      </c>
      <c r="G6" t="s">
        <v>257</v>
      </c>
      <c r="H6" t="s">
        <v>271</v>
      </c>
      <c r="I6" t="s">
        <v>272</v>
      </c>
      <c r="J6" t="s">
        <v>273</v>
      </c>
      <c r="K6" t="s">
        <v>253</v>
      </c>
      <c r="L6" s="3" t="s">
        <v>229</v>
      </c>
      <c r="M6" t="s">
        <v>274</v>
      </c>
      <c r="N6" t="s">
        <v>259</v>
      </c>
      <c r="O6" t="s">
        <v>260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</row>
    <row r="7" spans="1:23" x14ac:dyDescent="0.25">
      <c r="A7" s="1" t="s">
        <v>0</v>
      </c>
      <c r="B7" s="5" t="s">
        <v>275</v>
      </c>
      <c r="C7" t="s">
        <v>276</v>
      </c>
      <c r="D7" t="s">
        <v>277</v>
      </c>
      <c r="E7" t="s">
        <v>278</v>
      </c>
      <c r="F7" t="s">
        <v>277</v>
      </c>
      <c r="G7" t="s">
        <v>278</v>
      </c>
      <c r="H7" t="s">
        <v>279</v>
      </c>
      <c r="I7" t="s">
        <v>280</v>
      </c>
      <c r="J7" t="s">
        <v>281</v>
      </c>
      <c r="K7" t="s">
        <v>282</v>
      </c>
      <c r="L7" s="3" t="s">
        <v>230</v>
      </c>
      <c r="M7" t="s">
        <v>265</v>
      </c>
      <c r="N7" t="s">
        <v>283</v>
      </c>
      <c r="O7" t="s">
        <v>284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</row>
    <row r="8" spans="1:23" x14ac:dyDescent="0.25">
      <c r="A8" s="1" t="s">
        <v>0</v>
      </c>
      <c r="B8" s="5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286</v>
      </c>
      <c r="H8" t="s">
        <v>266</v>
      </c>
      <c r="I8" t="s">
        <v>267</v>
      </c>
      <c r="J8" t="s">
        <v>290</v>
      </c>
      <c r="K8" t="s">
        <v>291</v>
      </c>
      <c r="L8" s="3" t="s">
        <v>231</v>
      </c>
      <c r="M8" t="s">
        <v>292</v>
      </c>
      <c r="N8" t="s">
        <v>289</v>
      </c>
      <c r="O8" t="s">
        <v>293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</row>
    <row r="9" spans="1:23" x14ac:dyDescent="0.25">
      <c r="A9" s="1" t="s">
        <v>0</v>
      </c>
      <c r="B9" s="5" t="s">
        <v>271</v>
      </c>
      <c r="C9" t="s">
        <v>272</v>
      </c>
      <c r="D9" t="s">
        <v>294</v>
      </c>
      <c r="E9" t="s">
        <v>295</v>
      </c>
      <c r="F9" t="s">
        <v>296</v>
      </c>
      <c r="G9" t="s">
        <v>297</v>
      </c>
      <c r="H9" t="s">
        <v>298</v>
      </c>
      <c r="I9" t="s">
        <v>299</v>
      </c>
      <c r="J9" t="s">
        <v>289</v>
      </c>
      <c r="K9" t="s">
        <v>293</v>
      </c>
      <c r="L9" s="3" t="s">
        <v>232</v>
      </c>
      <c r="M9" t="s">
        <v>300</v>
      </c>
      <c r="N9" t="s">
        <v>256</v>
      </c>
      <c r="O9" t="s">
        <v>257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</row>
    <row r="10" spans="1:23" x14ac:dyDescent="0.25">
      <c r="A10" s="1" t="s">
        <v>0</v>
      </c>
      <c r="B10" s="5" t="s">
        <v>301</v>
      </c>
      <c r="C10" t="s">
        <v>302</v>
      </c>
      <c r="D10" t="s">
        <v>289</v>
      </c>
      <c r="E10" t="s">
        <v>293</v>
      </c>
      <c r="F10" t="s">
        <v>268</v>
      </c>
      <c r="G10" t="s">
        <v>269</v>
      </c>
      <c r="H10" t="s">
        <v>303</v>
      </c>
      <c r="I10" t="s">
        <v>304</v>
      </c>
      <c r="J10" t="s">
        <v>305</v>
      </c>
      <c r="K10" t="s">
        <v>306</v>
      </c>
      <c r="L10" s="3" t="s">
        <v>233</v>
      </c>
      <c r="M10" t="s">
        <v>307</v>
      </c>
      <c r="N10" t="s">
        <v>268</v>
      </c>
      <c r="O10" t="s">
        <v>269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</row>
    <row r="11" spans="1:23" x14ac:dyDescent="0.25">
      <c r="A11" s="1" t="s">
        <v>0</v>
      </c>
      <c r="B11" s="5" t="s">
        <v>308</v>
      </c>
      <c r="C11" t="s">
        <v>309</v>
      </c>
      <c r="D11" t="s">
        <v>310</v>
      </c>
      <c r="E11" t="s">
        <v>311</v>
      </c>
      <c r="F11" t="s">
        <v>310</v>
      </c>
      <c r="G11" t="s">
        <v>311</v>
      </c>
      <c r="H11" t="s">
        <v>312</v>
      </c>
      <c r="I11" t="s">
        <v>313</v>
      </c>
      <c r="J11" t="s">
        <v>308</v>
      </c>
      <c r="K11" t="s">
        <v>314</v>
      </c>
      <c r="L11" s="3" t="s">
        <v>234</v>
      </c>
      <c r="M11" t="s">
        <v>315</v>
      </c>
      <c r="N11" t="s">
        <v>316</v>
      </c>
      <c r="O11" t="s">
        <v>317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</row>
    <row r="12" spans="1:23" x14ac:dyDescent="0.25">
      <c r="A12" s="1" t="s">
        <v>0</v>
      </c>
      <c r="B12" s="5" t="s">
        <v>318</v>
      </c>
      <c r="C12" t="s">
        <v>319</v>
      </c>
      <c r="D12" t="s">
        <v>296</v>
      </c>
      <c r="E12" t="s">
        <v>320</v>
      </c>
      <c r="F12" t="s">
        <v>318</v>
      </c>
      <c r="G12" t="s">
        <v>319</v>
      </c>
      <c r="H12" t="s">
        <v>308</v>
      </c>
      <c r="I12" t="s">
        <v>309</v>
      </c>
      <c r="J12" t="s">
        <v>321</v>
      </c>
      <c r="K12" t="s">
        <v>322</v>
      </c>
      <c r="L12" s="3" t="s">
        <v>235</v>
      </c>
      <c r="M12" t="s">
        <v>323</v>
      </c>
      <c r="N12" t="s">
        <v>324</v>
      </c>
      <c r="O12" t="s">
        <v>325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</row>
    <row r="13" spans="1:23" x14ac:dyDescent="0.25">
      <c r="A13" s="1" t="s">
        <v>0</v>
      </c>
      <c r="B13" s="5" t="s">
        <v>256</v>
      </c>
      <c r="C13" t="s">
        <v>257</v>
      </c>
      <c r="D13" t="s">
        <v>318</v>
      </c>
      <c r="E13" t="s">
        <v>319</v>
      </c>
      <c r="F13" t="s">
        <v>283</v>
      </c>
      <c r="G13" t="s">
        <v>326</v>
      </c>
      <c r="H13" t="s">
        <v>327</v>
      </c>
      <c r="I13" t="s">
        <v>328</v>
      </c>
      <c r="J13" t="s">
        <v>329</v>
      </c>
      <c r="K13" t="s">
        <v>330</v>
      </c>
      <c r="L13" s="3" t="s">
        <v>236</v>
      </c>
      <c r="M13" t="s">
        <v>331</v>
      </c>
      <c r="N13" t="s">
        <v>310</v>
      </c>
      <c r="O13" t="s">
        <v>311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</row>
    <row r="14" spans="1:23" x14ac:dyDescent="0.25">
      <c r="A14" s="1" t="s">
        <v>0</v>
      </c>
      <c r="B14" s="5" t="s">
        <v>332</v>
      </c>
      <c r="C14" t="s">
        <v>333</v>
      </c>
      <c r="D14" t="s">
        <v>266</v>
      </c>
      <c r="E14" t="s">
        <v>267</v>
      </c>
      <c r="F14" s="1" t="s">
        <v>0</v>
      </c>
      <c r="G14" s="1" t="s">
        <v>0</v>
      </c>
      <c r="H14" s="1" t="s">
        <v>0</v>
      </c>
      <c r="I14" s="1" t="s">
        <v>0</v>
      </c>
      <c r="J14" t="s">
        <v>334</v>
      </c>
      <c r="K14" t="s">
        <v>335</v>
      </c>
      <c r="L14" s="1" t="s">
        <v>0</v>
      </c>
      <c r="M14" s="1" t="s">
        <v>0</v>
      </c>
      <c r="N14" s="1" t="s">
        <v>0</v>
      </c>
      <c r="O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</row>
    <row r="15" spans="1:23" x14ac:dyDescent="0.25">
      <c r="A15" s="1" t="s">
        <v>0</v>
      </c>
      <c r="B15" s="1" t="s">
        <v>0</v>
      </c>
      <c r="C15" s="1" t="s">
        <v>0</v>
      </c>
      <c r="D15" t="s">
        <v>336</v>
      </c>
      <c r="E15" t="s">
        <v>306</v>
      </c>
      <c r="F15" s="1" t="s">
        <v>0</v>
      </c>
      <c r="G15" s="1" t="s">
        <v>0</v>
      </c>
      <c r="H15" s="1" t="s">
        <v>0</v>
      </c>
      <c r="I15" s="1" t="s">
        <v>0</v>
      </c>
      <c r="J15" t="s">
        <v>337</v>
      </c>
      <c r="K15" t="s">
        <v>338</v>
      </c>
      <c r="L15" s="1" t="s">
        <v>0</v>
      </c>
      <c r="M15" s="1" t="s">
        <v>0</v>
      </c>
      <c r="N15" s="1" t="s">
        <v>0</v>
      </c>
      <c r="O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</row>
    <row r="16" spans="1:2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/>
      <c r="M16" s="1"/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</row>
    <row r="17" spans="1:2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/>
      <c r="M17" s="1"/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</row>
    <row r="18" spans="1:23" ht="49.5" x14ac:dyDescent="0.25">
      <c r="A18" s="1" t="s">
        <v>14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15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</row>
    <row r="19" spans="1:23" ht="33" x14ac:dyDescent="0.25">
      <c r="A19" s="1" t="s">
        <v>16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17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</row>
    <row r="20" spans="1:23" ht="49.5" x14ac:dyDescent="0.25">
      <c r="A20" s="1" t="s">
        <v>18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19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</row>
  </sheetData>
  <phoneticPr fontId="1" type="noConversion"/>
  <pageMargins left="0.7" right="0.7" top="0.75" bottom="0.75" header="0.3" footer="0.3"/>
  <ignoredErrors>
    <ignoredError sqref="A1:C1 A18:W20 A2:A13 R2:W13 A16:K17 N16:W17 A14:A15 R14:W15 F1:W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topLeftCell="E1" workbookViewId="0">
      <selection activeCell="I2" sqref="I2"/>
    </sheetView>
  </sheetViews>
  <sheetFormatPr defaultColWidth="11" defaultRowHeight="16.5" x14ac:dyDescent="0.25"/>
  <cols>
    <col min="2" max="15" width="18.75" customWidth="1"/>
  </cols>
  <sheetData>
    <row r="1" spans="1:23" s="1" customFormat="1" ht="49.5" x14ac:dyDescent="0.25">
      <c r="A1" s="1" t="s">
        <v>0</v>
      </c>
      <c r="B1" s="1" t="s">
        <v>1</v>
      </c>
      <c r="C1" s="1" t="s">
        <v>1</v>
      </c>
      <c r="D1" s="1" t="s">
        <v>339</v>
      </c>
      <c r="E1" s="1" t="s">
        <v>25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9</v>
      </c>
      <c r="U1" s="1" t="s">
        <v>11</v>
      </c>
      <c r="V1" s="1" t="s">
        <v>9</v>
      </c>
      <c r="W1" s="1" t="s">
        <v>12</v>
      </c>
    </row>
    <row r="2" spans="1:23" x14ac:dyDescent="0.25">
      <c r="A2" t="s">
        <v>20</v>
      </c>
      <c r="B2" t="s">
        <v>340</v>
      </c>
      <c r="C2" t="s">
        <v>341</v>
      </c>
      <c r="D2" t="s">
        <v>360</v>
      </c>
      <c r="E2" t="s">
        <v>361</v>
      </c>
      <c r="F2" t="s">
        <v>362</v>
      </c>
      <c r="G2" t="s">
        <v>363</v>
      </c>
      <c r="H2" t="s">
        <v>364</v>
      </c>
      <c r="I2" t="s">
        <v>365</v>
      </c>
      <c r="J2" t="s">
        <v>366</v>
      </c>
      <c r="K2" t="s">
        <v>367</v>
      </c>
      <c r="L2" s="3" t="s">
        <v>368</v>
      </c>
      <c r="M2" t="s">
        <v>369</v>
      </c>
      <c r="N2" t="s">
        <v>370</v>
      </c>
      <c r="O2" t="s">
        <v>371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</row>
    <row r="3" spans="1:23" x14ac:dyDescent="0.25">
      <c r="A3" t="s">
        <v>0</v>
      </c>
      <c r="B3" t="s">
        <v>305</v>
      </c>
      <c r="C3" t="s">
        <v>342</v>
      </c>
      <c r="D3" t="s">
        <v>372</v>
      </c>
      <c r="E3" t="s">
        <v>373</v>
      </c>
      <c r="F3" t="s">
        <v>346</v>
      </c>
      <c r="G3" t="s">
        <v>347</v>
      </c>
      <c r="H3" t="s">
        <v>374</v>
      </c>
      <c r="I3" t="s">
        <v>375</v>
      </c>
      <c r="J3" t="s">
        <v>376</v>
      </c>
      <c r="K3" t="s">
        <v>377</v>
      </c>
      <c r="L3" s="3" t="s">
        <v>378</v>
      </c>
      <c r="M3" t="s">
        <v>379</v>
      </c>
      <c r="N3" t="s">
        <v>340</v>
      </c>
      <c r="O3" t="s">
        <v>380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</row>
    <row r="4" spans="1:23" x14ac:dyDescent="0.25">
      <c r="A4" t="s">
        <v>0</v>
      </c>
      <c r="B4" t="s">
        <v>343</v>
      </c>
      <c r="C4" t="s">
        <v>344</v>
      </c>
      <c r="D4" t="s">
        <v>312</v>
      </c>
      <c r="E4" t="s">
        <v>313</v>
      </c>
      <c r="F4" t="s">
        <v>312</v>
      </c>
      <c r="G4" t="s">
        <v>313</v>
      </c>
      <c r="H4" t="s">
        <v>381</v>
      </c>
      <c r="I4" t="s">
        <v>382</v>
      </c>
      <c r="J4" t="s">
        <v>312</v>
      </c>
      <c r="K4" t="s">
        <v>313</v>
      </c>
      <c r="L4" s="3" t="s">
        <v>312</v>
      </c>
      <c r="M4" t="s">
        <v>313</v>
      </c>
      <c r="N4" t="s">
        <v>383</v>
      </c>
      <c r="O4" t="s">
        <v>344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</row>
    <row r="5" spans="1:23" x14ac:dyDescent="0.25">
      <c r="A5" t="s">
        <v>0</v>
      </c>
      <c r="B5" t="s">
        <v>273</v>
      </c>
      <c r="C5" t="s">
        <v>345</v>
      </c>
      <c r="D5" t="s">
        <v>384</v>
      </c>
      <c r="E5" t="s">
        <v>385</v>
      </c>
      <c r="F5" t="s">
        <v>384</v>
      </c>
      <c r="G5" t="s">
        <v>385</v>
      </c>
      <c r="H5" t="s">
        <v>305</v>
      </c>
      <c r="I5" t="s">
        <v>306</v>
      </c>
      <c r="J5" t="s">
        <v>386</v>
      </c>
      <c r="K5" t="s">
        <v>387</v>
      </c>
      <c r="L5" s="3" t="s">
        <v>343</v>
      </c>
      <c r="M5" t="s">
        <v>388</v>
      </c>
      <c r="N5" t="s">
        <v>389</v>
      </c>
      <c r="O5" t="s">
        <v>390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</row>
    <row r="6" spans="1:23" x14ac:dyDescent="0.25">
      <c r="A6" t="s">
        <v>0</v>
      </c>
      <c r="B6" t="s">
        <v>346</v>
      </c>
      <c r="C6" t="s">
        <v>347</v>
      </c>
      <c r="D6" t="s">
        <v>383</v>
      </c>
      <c r="E6" t="s">
        <v>344</v>
      </c>
      <c r="F6" t="s">
        <v>343</v>
      </c>
      <c r="G6" t="s">
        <v>391</v>
      </c>
      <c r="H6" t="s">
        <v>509</v>
      </c>
      <c r="I6" t="s">
        <v>392</v>
      </c>
      <c r="J6" t="s">
        <v>273</v>
      </c>
      <c r="K6" t="s">
        <v>345</v>
      </c>
      <c r="L6" s="3" t="s">
        <v>273</v>
      </c>
      <c r="M6" t="s">
        <v>345</v>
      </c>
      <c r="N6" t="s">
        <v>393</v>
      </c>
      <c r="O6" t="s">
        <v>394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</row>
    <row r="7" spans="1:23" x14ac:dyDescent="0.25">
      <c r="A7" t="s">
        <v>0</v>
      </c>
      <c r="B7" t="s">
        <v>348</v>
      </c>
      <c r="C7" t="s">
        <v>349</v>
      </c>
      <c r="D7" t="s">
        <v>395</v>
      </c>
      <c r="E7" t="s">
        <v>355</v>
      </c>
      <c r="F7" t="s">
        <v>354</v>
      </c>
      <c r="G7" t="s">
        <v>355</v>
      </c>
      <c r="H7" t="s">
        <v>318</v>
      </c>
      <c r="I7" t="s">
        <v>319</v>
      </c>
      <c r="J7" t="s">
        <v>396</v>
      </c>
      <c r="K7" t="s">
        <v>397</v>
      </c>
      <c r="L7" t="s">
        <v>398</v>
      </c>
      <c r="M7" t="s">
        <v>399</v>
      </c>
      <c r="N7" t="s">
        <v>358</v>
      </c>
      <c r="O7" t="s">
        <v>400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</row>
    <row r="8" spans="1:23" x14ac:dyDescent="0.25">
      <c r="A8" t="s">
        <v>0</v>
      </c>
      <c r="B8" t="s">
        <v>350</v>
      </c>
      <c r="C8" t="s">
        <v>351</v>
      </c>
      <c r="D8" t="s">
        <v>401</v>
      </c>
      <c r="E8" t="s">
        <v>402</v>
      </c>
      <c r="F8" t="s">
        <v>358</v>
      </c>
      <c r="G8" t="s">
        <v>359</v>
      </c>
      <c r="H8" t="s">
        <v>346</v>
      </c>
      <c r="I8" t="s">
        <v>347</v>
      </c>
      <c r="J8" t="s">
        <v>354</v>
      </c>
      <c r="K8" t="s">
        <v>355</v>
      </c>
      <c r="L8" t="s">
        <v>403</v>
      </c>
      <c r="M8" t="s">
        <v>404</v>
      </c>
      <c r="N8" t="s">
        <v>336</v>
      </c>
      <c r="O8" t="s">
        <v>306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</row>
    <row r="9" spans="1:23" x14ac:dyDescent="0.25">
      <c r="A9" t="s">
        <v>0</v>
      </c>
      <c r="B9" t="s">
        <v>352</v>
      </c>
      <c r="C9" t="s">
        <v>353</v>
      </c>
      <c r="D9" t="s">
        <v>405</v>
      </c>
      <c r="E9" t="s">
        <v>406</v>
      </c>
      <c r="F9" t="s">
        <v>273</v>
      </c>
      <c r="G9" t="s">
        <v>345</v>
      </c>
      <c r="H9" t="s">
        <v>407</v>
      </c>
      <c r="I9" t="s">
        <v>408</v>
      </c>
      <c r="J9" t="s">
        <v>318</v>
      </c>
      <c r="K9" t="s">
        <v>319</v>
      </c>
      <c r="L9" t="s">
        <v>305</v>
      </c>
      <c r="M9" t="s">
        <v>306</v>
      </c>
      <c r="N9" t="s">
        <v>409</v>
      </c>
      <c r="O9" t="s">
        <v>410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</row>
    <row r="10" spans="1:23" x14ac:dyDescent="0.25">
      <c r="A10" t="s">
        <v>0</v>
      </c>
      <c r="B10" t="s">
        <v>354</v>
      </c>
      <c r="C10" t="s">
        <v>355</v>
      </c>
      <c r="D10" t="s">
        <v>273</v>
      </c>
      <c r="E10" t="s">
        <v>345</v>
      </c>
      <c r="F10" t="s">
        <v>411</v>
      </c>
      <c r="G10" t="s">
        <v>412</v>
      </c>
      <c r="H10" t="s">
        <v>413</v>
      </c>
      <c r="I10" t="s">
        <v>414</v>
      </c>
      <c r="J10" t="s">
        <v>346</v>
      </c>
      <c r="K10" t="s">
        <v>347</v>
      </c>
      <c r="L10" t="s">
        <v>415</v>
      </c>
      <c r="M10" t="s">
        <v>416</v>
      </c>
      <c r="N10" t="s">
        <v>273</v>
      </c>
      <c r="O10" t="s">
        <v>345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</row>
    <row r="11" spans="1:23" x14ac:dyDescent="0.25">
      <c r="A11" t="s">
        <v>0</v>
      </c>
      <c r="B11" t="s">
        <v>356</v>
      </c>
      <c r="C11" t="s">
        <v>357</v>
      </c>
      <c r="D11" t="s">
        <v>411</v>
      </c>
      <c r="E11" t="s">
        <v>351</v>
      </c>
      <c r="F11" t="s">
        <v>417</v>
      </c>
      <c r="G11" t="s">
        <v>418</v>
      </c>
      <c r="H11" t="s">
        <v>419</v>
      </c>
      <c r="I11" t="s">
        <v>420</v>
      </c>
      <c r="J11" t="s">
        <v>421</v>
      </c>
      <c r="K11" t="s">
        <v>422</v>
      </c>
      <c r="L11" t="s">
        <v>321</v>
      </c>
      <c r="M11" t="s">
        <v>322</v>
      </c>
      <c r="N11" t="s">
        <v>411</v>
      </c>
      <c r="O11" t="s">
        <v>351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</row>
    <row r="12" spans="1:23" x14ac:dyDescent="0.25">
      <c r="A12" t="s">
        <v>0</v>
      </c>
      <c r="B12" t="s">
        <v>358</v>
      </c>
      <c r="C12" t="s">
        <v>359</v>
      </c>
      <c r="D12" t="s">
        <v>423</v>
      </c>
      <c r="E12" t="s">
        <v>424</v>
      </c>
      <c r="F12" t="s">
        <v>425</v>
      </c>
      <c r="G12" t="s">
        <v>426</v>
      </c>
      <c r="H12" t="s">
        <v>427</v>
      </c>
      <c r="I12" t="s">
        <v>428</v>
      </c>
      <c r="J12" t="s">
        <v>509</v>
      </c>
      <c r="K12" t="s">
        <v>392</v>
      </c>
      <c r="L12" t="s">
        <v>411</v>
      </c>
      <c r="M12" t="s">
        <v>429</v>
      </c>
      <c r="N12" t="s">
        <v>430</v>
      </c>
      <c r="O12" t="s">
        <v>431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</row>
    <row r="13" spans="1:23" x14ac:dyDescent="0.25">
      <c r="A13" t="s">
        <v>0</v>
      </c>
      <c r="B13" t="s">
        <v>0</v>
      </c>
      <c r="C13" t="s">
        <v>0</v>
      </c>
      <c r="D13" t="s">
        <v>425</v>
      </c>
      <c r="E13" t="s">
        <v>426</v>
      </c>
      <c r="F13" t="s">
        <v>430</v>
      </c>
      <c r="G13" t="s">
        <v>431</v>
      </c>
      <c r="H13" t="s">
        <v>432</v>
      </c>
      <c r="I13" t="s">
        <v>433</v>
      </c>
      <c r="J13" t="s">
        <v>434</v>
      </c>
      <c r="K13" t="s">
        <v>435</v>
      </c>
      <c r="L13" t="s">
        <v>425</v>
      </c>
      <c r="M13" t="s">
        <v>436</v>
      </c>
      <c r="N13" t="s">
        <v>437</v>
      </c>
      <c r="O13" t="s">
        <v>438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</row>
    <row r="14" spans="1:23" x14ac:dyDescent="0.25">
      <c r="A14" t="s">
        <v>14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15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</row>
    <row r="15" spans="1:23" x14ac:dyDescent="0.25">
      <c r="A15" t="s">
        <v>16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17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</row>
    <row r="16" spans="1:23" x14ac:dyDescent="0.25">
      <c r="A16" t="s">
        <v>18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19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</row>
    <row r="17" spans="4:13" x14ac:dyDescent="0.25">
      <c r="D17" t="s">
        <v>430</v>
      </c>
      <c r="E17" t="s">
        <v>431</v>
      </c>
      <c r="F17" t="s">
        <v>0</v>
      </c>
      <c r="G17" t="s">
        <v>0</v>
      </c>
      <c r="J17" t="s">
        <v>439</v>
      </c>
      <c r="K17" t="s">
        <v>440</v>
      </c>
      <c r="L17" t="s">
        <v>352</v>
      </c>
      <c r="M17" t="s">
        <v>441</v>
      </c>
    </row>
  </sheetData>
  <phoneticPr fontId="1" type="noConversion"/>
  <pageMargins left="0.7" right="0.7" top="0.75" bottom="0.75" header="0.3" footer="0.3"/>
  <ignoredErrors>
    <ignoredError sqref="A1:C1 A14:W16 A2:A6 P2:W6 A13:C13 P7:W13 F1:W1 A7:A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"/>
  <sheetViews>
    <sheetView topLeftCell="E1" workbookViewId="0">
      <selection activeCell="G6" sqref="G6"/>
    </sheetView>
  </sheetViews>
  <sheetFormatPr defaultColWidth="11" defaultRowHeight="16.5" x14ac:dyDescent="0.25"/>
  <cols>
    <col min="2" max="15" width="34.5" customWidth="1"/>
  </cols>
  <sheetData>
    <row r="1" spans="1:23" s="1" customFormat="1" ht="49.5" x14ac:dyDescent="0.25">
      <c r="A1" s="1" t="s">
        <v>0</v>
      </c>
      <c r="B1" s="1" t="s">
        <v>1</v>
      </c>
      <c r="C1" s="1" t="s">
        <v>1</v>
      </c>
      <c r="D1" s="1" t="s">
        <v>339</v>
      </c>
      <c r="E1" s="1" t="s">
        <v>25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9</v>
      </c>
      <c r="U1" s="1" t="s">
        <v>11</v>
      </c>
      <c r="V1" s="1" t="s">
        <v>9</v>
      </c>
      <c r="W1" s="1" t="s">
        <v>12</v>
      </c>
    </row>
    <row r="2" spans="1:23" x14ac:dyDescent="0.25">
      <c r="A2" t="s">
        <v>21</v>
      </c>
      <c r="B2" t="s">
        <v>442</v>
      </c>
      <c r="C2" t="s">
        <v>443</v>
      </c>
      <c r="D2" t="s">
        <v>22</v>
      </c>
      <c r="E2" t="s">
        <v>461</v>
      </c>
      <c r="F2" t="s">
        <v>24</v>
      </c>
      <c r="G2" t="s">
        <v>510</v>
      </c>
      <c r="H2" t="s">
        <v>462</v>
      </c>
      <c r="I2" t="s">
        <v>38</v>
      </c>
      <c r="J2" s="6" t="s">
        <v>463</v>
      </c>
      <c r="K2" s="6" t="s">
        <v>464</v>
      </c>
      <c r="L2" t="s">
        <v>446</v>
      </c>
      <c r="M2" t="s">
        <v>447</v>
      </c>
      <c r="N2" t="s">
        <v>22</v>
      </c>
      <c r="O2" t="s">
        <v>23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</row>
    <row r="3" spans="1:23" x14ac:dyDescent="0.25">
      <c r="A3" t="s">
        <v>0</v>
      </c>
      <c r="B3" t="s">
        <v>444</v>
      </c>
      <c r="C3" t="s">
        <v>445</v>
      </c>
      <c r="D3" t="s">
        <v>407</v>
      </c>
      <c r="E3" t="s">
        <v>443</v>
      </c>
      <c r="F3" t="s">
        <v>407</v>
      </c>
      <c r="G3" t="s">
        <v>408</v>
      </c>
      <c r="H3" t="s">
        <v>465</v>
      </c>
      <c r="I3" t="s">
        <v>466</v>
      </c>
      <c r="J3" s="6" t="s">
        <v>467</v>
      </c>
      <c r="K3" s="6" t="s">
        <v>468</v>
      </c>
      <c r="L3" t="s">
        <v>407</v>
      </c>
      <c r="M3" t="s">
        <v>443</v>
      </c>
      <c r="N3" t="s">
        <v>407</v>
      </c>
      <c r="O3" t="s">
        <v>408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</row>
    <row r="4" spans="1:23" x14ac:dyDescent="0.25">
      <c r="A4" t="s">
        <v>0</v>
      </c>
      <c r="B4" t="s">
        <v>446</v>
      </c>
      <c r="C4" t="s">
        <v>447</v>
      </c>
      <c r="D4" t="s">
        <v>463</v>
      </c>
      <c r="E4" t="s">
        <v>469</v>
      </c>
      <c r="F4" t="s">
        <v>463</v>
      </c>
      <c r="G4" t="s">
        <v>469</v>
      </c>
      <c r="H4" t="s">
        <v>470</v>
      </c>
      <c r="I4" t="s">
        <v>471</v>
      </c>
      <c r="J4" s="6" t="s">
        <v>275</v>
      </c>
      <c r="K4" s="6" t="s">
        <v>472</v>
      </c>
      <c r="L4" t="s">
        <v>463</v>
      </c>
      <c r="M4" t="s">
        <v>469</v>
      </c>
      <c r="N4" t="s">
        <v>405</v>
      </c>
      <c r="O4" t="s">
        <v>406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</row>
    <row r="5" spans="1:23" x14ac:dyDescent="0.25">
      <c r="A5" t="s">
        <v>0</v>
      </c>
      <c r="B5" t="s">
        <v>448</v>
      </c>
      <c r="C5" t="s">
        <v>449</v>
      </c>
      <c r="D5" t="s">
        <v>473</v>
      </c>
      <c r="E5" t="s">
        <v>474</v>
      </c>
      <c r="F5" t="s">
        <v>448</v>
      </c>
      <c r="G5" t="s">
        <v>449</v>
      </c>
      <c r="H5" t="s">
        <v>448</v>
      </c>
      <c r="I5" t="s">
        <v>449</v>
      </c>
      <c r="J5" s="6" t="s">
        <v>352</v>
      </c>
      <c r="K5" s="6" t="s">
        <v>353</v>
      </c>
      <c r="L5" t="s">
        <v>405</v>
      </c>
      <c r="M5" t="s">
        <v>406</v>
      </c>
      <c r="N5" t="s">
        <v>463</v>
      </c>
      <c r="O5" t="s">
        <v>469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</row>
    <row r="6" spans="1:23" x14ac:dyDescent="0.25">
      <c r="A6" t="s">
        <v>0</v>
      </c>
      <c r="B6" t="s">
        <v>450</v>
      </c>
      <c r="C6" t="s">
        <v>451</v>
      </c>
      <c r="D6" t="s">
        <v>448</v>
      </c>
      <c r="E6" t="s">
        <v>449</v>
      </c>
      <c r="F6" t="s">
        <v>475</v>
      </c>
      <c r="G6" t="s">
        <v>476</v>
      </c>
      <c r="H6" t="s">
        <v>459</v>
      </c>
      <c r="I6" t="s">
        <v>460</v>
      </c>
      <c r="J6" s="6" t="s">
        <v>448</v>
      </c>
      <c r="K6" s="6" t="s">
        <v>449</v>
      </c>
      <c r="L6" t="s">
        <v>459</v>
      </c>
      <c r="M6" t="s">
        <v>460</v>
      </c>
      <c r="N6" t="s">
        <v>448</v>
      </c>
      <c r="O6" t="s">
        <v>449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</row>
    <row r="7" spans="1:23" x14ac:dyDescent="0.25">
      <c r="A7" t="s">
        <v>0</v>
      </c>
      <c r="B7" t="s">
        <v>405</v>
      </c>
      <c r="C7" t="s">
        <v>406</v>
      </c>
      <c r="D7" t="s">
        <v>453</v>
      </c>
      <c r="E7" t="s">
        <v>454</v>
      </c>
      <c r="F7" t="s">
        <v>453</v>
      </c>
      <c r="G7" t="s">
        <v>454</v>
      </c>
      <c r="H7" t="s">
        <v>446</v>
      </c>
      <c r="I7" t="s">
        <v>447</v>
      </c>
      <c r="J7" s="6" t="s">
        <v>457</v>
      </c>
      <c r="K7" s="6" t="s">
        <v>477</v>
      </c>
      <c r="L7" t="s">
        <v>457</v>
      </c>
      <c r="M7" t="s">
        <v>477</v>
      </c>
      <c r="N7" t="s">
        <v>478</v>
      </c>
      <c r="O7" t="s">
        <v>479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</row>
    <row r="8" spans="1:23" x14ac:dyDescent="0.25">
      <c r="A8" t="s">
        <v>0</v>
      </c>
      <c r="B8" t="s">
        <v>452</v>
      </c>
      <c r="C8" t="s">
        <v>182</v>
      </c>
      <c r="D8" t="s">
        <v>480</v>
      </c>
      <c r="E8" t="s">
        <v>481</v>
      </c>
      <c r="F8" t="s">
        <v>473</v>
      </c>
      <c r="G8" t="s">
        <v>474</v>
      </c>
      <c r="H8" t="s">
        <v>482</v>
      </c>
      <c r="I8" t="s">
        <v>483</v>
      </c>
      <c r="J8" s="6" t="s">
        <v>405</v>
      </c>
      <c r="K8" s="6" t="s">
        <v>406</v>
      </c>
      <c r="L8" t="s">
        <v>484</v>
      </c>
      <c r="M8" t="s">
        <v>485</v>
      </c>
      <c r="N8" t="s">
        <v>473</v>
      </c>
      <c r="O8" t="s">
        <v>474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</row>
    <row r="9" spans="1:23" x14ac:dyDescent="0.25">
      <c r="A9" t="s">
        <v>0</v>
      </c>
      <c r="B9" t="s">
        <v>453</v>
      </c>
      <c r="C9" t="s">
        <v>454</v>
      </c>
      <c r="D9" t="s">
        <v>486</v>
      </c>
      <c r="E9" t="s">
        <v>487</v>
      </c>
      <c r="F9" t="s">
        <v>486</v>
      </c>
      <c r="G9" t="s">
        <v>487</v>
      </c>
      <c r="H9" t="s">
        <v>488</v>
      </c>
      <c r="I9" t="s">
        <v>489</v>
      </c>
      <c r="J9" s="6" t="s">
        <v>453</v>
      </c>
      <c r="K9" s="6" t="s">
        <v>454</v>
      </c>
      <c r="L9" t="s">
        <v>448</v>
      </c>
      <c r="M9" t="s">
        <v>449</v>
      </c>
      <c r="N9" t="s">
        <v>490</v>
      </c>
      <c r="O9" t="s">
        <v>491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</row>
    <row r="10" spans="1:23" x14ac:dyDescent="0.25">
      <c r="A10" t="s">
        <v>0</v>
      </c>
      <c r="B10" t="s">
        <v>455</v>
      </c>
      <c r="C10" t="s">
        <v>456</v>
      </c>
      <c r="D10" t="s">
        <v>490</v>
      </c>
      <c r="E10" t="s">
        <v>492</v>
      </c>
      <c r="F10" t="s">
        <v>490</v>
      </c>
      <c r="G10" t="s">
        <v>492</v>
      </c>
      <c r="H10" t="s">
        <v>493</v>
      </c>
      <c r="I10" t="s">
        <v>494</v>
      </c>
      <c r="J10" s="6" t="s">
        <v>495</v>
      </c>
      <c r="K10" s="6" t="s">
        <v>496</v>
      </c>
      <c r="L10" t="s">
        <v>497</v>
      </c>
      <c r="M10" t="s">
        <v>498</v>
      </c>
      <c r="N10" t="s">
        <v>480</v>
      </c>
      <c r="O10" t="s">
        <v>481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</row>
    <row r="11" spans="1:23" x14ac:dyDescent="0.25">
      <c r="A11" t="s">
        <v>0</v>
      </c>
      <c r="B11" t="s">
        <v>457</v>
      </c>
      <c r="C11" t="s">
        <v>458</v>
      </c>
      <c r="D11" t="s">
        <v>457</v>
      </c>
      <c r="E11" t="s">
        <v>458</v>
      </c>
      <c r="F11" t="s">
        <v>457</v>
      </c>
      <c r="G11" t="s">
        <v>477</v>
      </c>
      <c r="H11" t="s">
        <v>499</v>
      </c>
      <c r="I11" t="s">
        <v>454</v>
      </c>
      <c r="J11" s="6" t="s">
        <v>500</v>
      </c>
      <c r="K11" s="6" t="s">
        <v>501</v>
      </c>
      <c r="L11" t="s">
        <v>455</v>
      </c>
      <c r="M11" t="s">
        <v>502</v>
      </c>
      <c r="N11" t="s">
        <v>486</v>
      </c>
      <c r="O11" t="s">
        <v>487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</row>
    <row r="12" spans="1:23" x14ac:dyDescent="0.25">
      <c r="A12" t="s">
        <v>0</v>
      </c>
      <c r="B12" t="s">
        <v>459</v>
      </c>
      <c r="C12" t="s">
        <v>460</v>
      </c>
      <c r="D12" t="s">
        <v>503</v>
      </c>
      <c r="E12" t="s">
        <v>504</v>
      </c>
      <c r="F12" t="s">
        <v>503</v>
      </c>
      <c r="G12" t="s">
        <v>504</v>
      </c>
      <c r="H12" t="s">
        <v>457</v>
      </c>
      <c r="I12" t="s">
        <v>477</v>
      </c>
      <c r="J12" s="6" t="s">
        <v>505</v>
      </c>
      <c r="K12" s="6" t="s">
        <v>506</v>
      </c>
      <c r="L12" t="s">
        <v>480</v>
      </c>
      <c r="M12" t="s">
        <v>481</v>
      </c>
      <c r="N12" t="s">
        <v>457</v>
      </c>
      <c r="O12" t="s">
        <v>458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</row>
    <row r="13" spans="1:23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s="6" t="s">
        <v>459</v>
      </c>
      <c r="K13" s="6" t="s">
        <v>460</v>
      </c>
      <c r="L13" t="s">
        <v>507</v>
      </c>
      <c r="M13" t="s">
        <v>487</v>
      </c>
      <c r="N13" t="s">
        <v>503</v>
      </c>
      <c r="O13" t="s">
        <v>504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</row>
    <row r="14" spans="1:23" x14ac:dyDescent="0.25">
      <c r="A14" t="s">
        <v>14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15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</row>
    <row r="15" spans="1:23" x14ac:dyDescent="0.25">
      <c r="A15" t="s">
        <v>16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17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</row>
    <row r="16" spans="1:23" x14ac:dyDescent="0.25">
      <c r="A16" t="s">
        <v>18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19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</row>
    <row r="17" spans="12:13" x14ac:dyDescent="0.25">
      <c r="L17" t="s">
        <v>495</v>
      </c>
      <c r="M17" t="s">
        <v>508</v>
      </c>
    </row>
  </sheetData>
  <phoneticPr fontId="1" type="noConversion"/>
  <pageMargins left="0.7" right="0.7" top="0.75" bottom="0.75" header="0.3" footer="0.3"/>
  <ignoredErrors>
    <ignoredError sqref="A14:W16 A1:C1 F1:W1 A2:A12 P2:W12 A13:C13 P13:W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8"/>
  <sheetViews>
    <sheetView zoomScale="75" workbookViewId="0">
      <selection activeCell="N1" sqref="N1:O1048576"/>
    </sheetView>
  </sheetViews>
  <sheetFormatPr defaultColWidth="11" defaultRowHeight="16.5" x14ac:dyDescent="0.25"/>
  <sheetData>
    <row r="1" spans="1:29" s="1" customFormat="1" ht="66" x14ac:dyDescent="0.25">
      <c r="A1" s="1" t="s">
        <v>0</v>
      </c>
      <c r="B1" s="1" t="s">
        <v>2</v>
      </c>
      <c r="C1" s="1" t="s">
        <v>2</v>
      </c>
      <c r="D1" s="1" t="s">
        <v>25</v>
      </c>
      <c r="E1" s="1" t="s">
        <v>25</v>
      </c>
      <c r="F1" s="1" t="s">
        <v>27</v>
      </c>
      <c r="G1" s="1" t="s">
        <v>27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28</v>
      </c>
      <c r="M1" s="1" t="s">
        <v>28</v>
      </c>
      <c r="N1" s="1" t="s">
        <v>29</v>
      </c>
      <c r="O1" s="1" t="s">
        <v>29</v>
      </c>
      <c r="P1" s="1" t="s">
        <v>30</v>
      </c>
      <c r="Q1" s="1" t="s">
        <v>30</v>
      </c>
      <c r="R1" s="1" t="s">
        <v>7</v>
      </c>
      <c r="S1" s="1" t="s">
        <v>8</v>
      </c>
      <c r="T1" s="1" t="s">
        <v>9</v>
      </c>
      <c r="U1" s="1" t="s">
        <v>31</v>
      </c>
      <c r="V1" s="1" t="s">
        <v>9</v>
      </c>
      <c r="W1" s="1" t="s">
        <v>32</v>
      </c>
      <c r="X1" s="1" t="s">
        <v>9</v>
      </c>
      <c r="Y1" s="1" t="s">
        <v>10</v>
      </c>
      <c r="Z1" s="1" t="s">
        <v>9</v>
      </c>
      <c r="AA1" s="1" t="s">
        <v>11</v>
      </c>
      <c r="AB1" s="1" t="s">
        <v>9</v>
      </c>
      <c r="AC1" s="1" t="s">
        <v>12</v>
      </c>
    </row>
    <row r="2" spans="1:29" x14ac:dyDescent="0.25">
      <c r="A2" t="s">
        <v>33</v>
      </c>
      <c r="B2" t="s">
        <v>169</v>
      </c>
      <c r="C2" t="s">
        <v>512</v>
      </c>
      <c r="D2" t="s">
        <v>169</v>
      </c>
      <c r="E2" t="s">
        <v>512</v>
      </c>
      <c r="F2" t="s">
        <v>513</v>
      </c>
      <c r="G2" t="s">
        <v>514</v>
      </c>
      <c r="H2" t="s">
        <v>176</v>
      </c>
      <c r="I2" s="19" t="s">
        <v>178</v>
      </c>
      <c r="J2" s="3" t="s">
        <v>515</v>
      </c>
      <c r="K2" t="s">
        <v>511</v>
      </c>
      <c r="L2" s="6" t="s">
        <v>169</v>
      </c>
      <c r="M2" t="s">
        <v>512</v>
      </c>
      <c r="N2" t="s">
        <v>169</v>
      </c>
      <c r="O2" t="s">
        <v>512</v>
      </c>
      <c r="P2" s="3" t="s">
        <v>169</v>
      </c>
      <c r="Q2" s="2" t="s">
        <v>512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</row>
    <row r="3" spans="1:29" x14ac:dyDescent="0.25">
      <c r="A3" t="s">
        <v>0</v>
      </c>
      <c r="B3" t="s">
        <v>170</v>
      </c>
      <c r="C3" t="s">
        <v>517</v>
      </c>
      <c r="D3" t="s">
        <v>170</v>
      </c>
      <c r="E3" t="s">
        <v>517</v>
      </c>
      <c r="F3" t="s">
        <v>176</v>
      </c>
      <c r="G3" t="s">
        <v>519</v>
      </c>
      <c r="H3" t="s">
        <v>520</v>
      </c>
      <c r="I3" s="19" t="s">
        <v>512</v>
      </c>
      <c r="J3" s="3" t="s">
        <v>176</v>
      </c>
      <c r="K3" t="s">
        <v>178</v>
      </c>
      <c r="L3" s="6" t="s">
        <v>170</v>
      </c>
      <c r="M3" t="s">
        <v>517</v>
      </c>
      <c r="N3" t="s">
        <v>170</v>
      </c>
      <c r="O3" t="s">
        <v>517</v>
      </c>
      <c r="P3" s="3" t="s">
        <v>170</v>
      </c>
      <c r="Q3" s="2" t="s">
        <v>517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</row>
    <row r="4" spans="1:29" x14ac:dyDescent="0.25">
      <c r="A4" t="s">
        <v>0</v>
      </c>
      <c r="B4" t="s">
        <v>176</v>
      </c>
      <c r="C4" t="s">
        <v>178</v>
      </c>
      <c r="D4" t="s">
        <v>176</v>
      </c>
      <c r="E4" t="s">
        <v>178</v>
      </c>
      <c r="F4" t="s">
        <v>522</v>
      </c>
      <c r="G4" t="s">
        <v>523</v>
      </c>
      <c r="H4" t="s">
        <v>524</v>
      </c>
      <c r="I4" s="19" t="s">
        <v>517</v>
      </c>
      <c r="J4" s="3" t="s">
        <v>518</v>
      </c>
      <c r="K4" t="s">
        <v>516</v>
      </c>
      <c r="L4" s="9" t="s">
        <v>171</v>
      </c>
      <c r="M4" t="s">
        <v>525</v>
      </c>
      <c r="N4" t="s">
        <v>171</v>
      </c>
      <c r="O4" t="s">
        <v>525</v>
      </c>
      <c r="P4" s="3" t="s">
        <v>171</v>
      </c>
      <c r="Q4" s="2" t="s">
        <v>526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</row>
    <row r="5" spans="1:29" x14ac:dyDescent="0.25">
      <c r="A5" t="s">
        <v>0</v>
      </c>
      <c r="B5" t="s">
        <v>171</v>
      </c>
      <c r="C5" t="s">
        <v>521</v>
      </c>
      <c r="D5" t="s">
        <v>171</v>
      </c>
      <c r="E5" t="s">
        <v>521</v>
      </c>
      <c r="F5" t="s">
        <v>527</v>
      </c>
      <c r="G5" t="s">
        <v>528</v>
      </c>
      <c r="H5" t="s">
        <v>171</v>
      </c>
      <c r="I5" s="18" t="s">
        <v>525</v>
      </c>
      <c r="J5" s="3" t="s">
        <v>522</v>
      </c>
      <c r="K5" t="s">
        <v>529</v>
      </c>
      <c r="L5" s="9" t="s">
        <v>177</v>
      </c>
      <c r="M5" t="s">
        <v>181</v>
      </c>
      <c r="N5" t="s">
        <v>176</v>
      </c>
      <c r="O5" t="s">
        <v>178</v>
      </c>
      <c r="P5" s="3" t="s">
        <v>176</v>
      </c>
      <c r="Q5" s="2" t="s">
        <v>530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</row>
    <row r="6" spans="1:29" x14ac:dyDescent="0.25">
      <c r="A6" t="s">
        <v>0</v>
      </c>
      <c r="B6" t="s">
        <v>177</v>
      </c>
      <c r="C6" t="s">
        <v>181</v>
      </c>
      <c r="D6" t="s">
        <v>177</v>
      </c>
      <c r="E6" t="s">
        <v>181</v>
      </c>
      <c r="F6" t="s">
        <v>177</v>
      </c>
      <c r="G6" t="s">
        <v>181</v>
      </c>
      <c r="H6" s="19" t="s">
        <v>177</v>
      </c>
      <c r="I6" s="19" t="s">
        <v>181</v>
      </c>
      <c r="J6" s="3" t="s">
        <v>534</v>
      </c>
      <c r="K6" t="s">
        <v>535</v>
      </c>
      <c r="L6" s="6" t="s">
        <v>176</v>
      </c>
      <c r="M6" t="s">
        <v>178</v>
      </c>
      <c r="N6" t="s">
        <v>177</v>
      </c>
      <c r="O6" t="s">
        <v>181</v>
      </c>
      <c r="P6" s="3" t="s">
        <v>177</v>
      </c>
      <c r="Q6" s="2" t="s">
        <v>536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</row>
    <row r="7" spans="1:29" x14ac:dyDescent="0.25">
      <c r="A7" t="s">
        <v>0</v>
      </c>
      <c r="B7" t="s">
        <v>532</v>
      </c>
      <c r="C7" t="s">
        <v>537</v>
      </c>
      <c r="D7" t="s">
        <v>532</v>
      </c>
      <c r="E7" t="s">
        <v>537</v>
      </c>
      <c r="F7" t="s">
        <v>538</v>
      </c>
      <c r="G7" t="s">
        <v>539</v>
      </c>
      <c r="H7" s="19" t="s">
        <v>540</v>
      </c>
      <c r="I7" s="19" t="s">
        <v>180</v>
      </c>
      <c r="J7" s="3" t="s">
        <v>177</v>
      </c>
      <c r="K7" t="s">
        <v>181</v>
      </c>
      <c r="L7" s="6" t="s">
        <v>172</v>
      </c>
      <c r="M7" s="4" t="s">
        <v>34</v>
      </c>
      <c r="N7" t="s">
        <v>172</v>
      </c>
      <c r="O7" t="s">
        <v>180</v>
      </c>
      <c r="P7" s="3" t="s">
        <v>172</v>
      </c>
      <c r="Q7" s="2" t="s">
        <v>541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25">
      <c r="A8" t="s">
        <v>0</v>
      </c>
      <c r="B8" t="s">
        <v>185</v>
      </c>
      <c r="C8" t="s">
        <v>542</v>
      </c>
      <c r="D8" t="s">
        <v>185</v>
      </c>
      <c r="E8" t="s">
        <v>542</v>
      </c>
      <c r="F8" t="s">
        <v>543</v>
      </c>
      <c r="G8" t="s">
        <v>544</v>
      </c>
      <c r="H8" s="19" t="s">
        <v>175</v>
      </c>
      <c r="I8" s="19" t="s">
        <v>179</v>
      </c>
      <c r="J8" s="3" t="s">
        <v>172</v>
      </c>
      <c r="K8" t="s">
        <v>180</v>
      </c>
      <c r="L8" s="10" t="s">
        <v>35</v>
      </c>
      <c r="M8" t="s">
        <v>179</v>
      </c>
      <c r="N8" t="s">
        <v>175</v>
      </c>
      <c r="O8" t="s">
        <v>179</v>
      </c>
      <c r="P8" s="3" t="s">
        <v>175</v>
      </c>
      <c r="Q8" s="2" t="s">
        <v>545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25">
      <c r="A9" t="s">
        <v>0</v>
      </c>
      <c r="B9" t="s">
        <v>439</v>
      </c>
      <c r="C9" t="s">
        <v>440</v>
      </c>
      <c r="D9" t="s">
        <v>439</v>
      </c>
      <c r="E9" t="s">
        <v>440</v>
      </c>
      <c r="F9" t="s">
        <v>546</v>
      </c>
      <c r="G9" t="s">
        <v>547</v>
      </c>
      <c r="H9" s="19" t="s">
        <v>186</v>
      </c>
      <c r="I9" s="19" t="s">
        <v>202</v>
      </c>
      <c r="J9" s="3" t="s">
        <v>175</v>
      </c>
      <c r="K9" t="s">
        <v>179</v>
      </c>
      <c r="L9" s="9" t="s">
        <v>173</v>
      </c>
      <c r="M9" t="s">
        <v>183</v>
      </c>
      <c r="N9" t="s">
        <v>173</v>
      </c>
      <c r="O9" t="s">
        <v>183</v>
      </c>
      <c r="P9" s="3" t="s">
        <v>174</v>
      </c>
      <c r="Q9" s="2" t="s">
        <v>548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</row>
    <row r="10" spans="1:29" x14ac:dyDescent="0.25">
      <c r="A10" t="s">
        <v>0</v>
      </c>
      <c r="B10" t="s">
        <v>173</v>
      </c>
      <c r="C10" t="s">
        <v>183</v>
      </c>
      <c r="D10" t="s">
        <v>173</v>
      </c>
      <c r="E10" t="s">
        <v>183</v>
      </c>
      <c r="F10" t="s">
        <v>173</v>
      </c>
      <c r="G10" t="s">
        <v>183</v>
      </c>
      <c r="H10" s="19" t="s">
        <v>550</v>
      </c>
      <c r="I10" s="19" t="s">
        <v>201</v>
      </c>
      <c r="J10" s="3" t="s">
        <v>546</v>
      </c>
      <c r="K10" t="s">
        <v>547</v>
      </c>
      <c r="L10" t="s">
        <v>174</v>
      </c>
      <c r="M10" t="s">
        <v>551</v>
      </c>
      <c r="N10" t="s">
        <v>185</v>
      </c>
      <c r="O10" t="s">
        <v>542</v>
      </c>
      <c r="P10" s="3" t="s">
        <v>552</v>
      </c>
      <c r="Q10" s="2" t="s">
        <v>553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</row>
    <row r="11" spans="1:29" x14ac:dyDescent="0.25">
      <c r="A11" t="s">
        <v>0</v>
      </c>
      <c r="B11" t="s">
        <v>462</v>
      </c>
      <c r="C11" t="s">
        <v>556</v>
      </c>
      <c r="D11" s="16"/>
      <c r="E11" s="16"/>
      <c r="F11" t="s">
        <v>172</v>
      </c>
      <c r="G11" t="s">
        <v>180</v>
      </c>
      <c r="H11" s="19" t="s">
        <v>549</v>
      </c>
      <c r="I11" s="19" t="s">
        <v>183</v>
      </c>
      <c r="J11" s="3" t="s">
        <v>559</v>
      </c>
      <c r="K11" t="s">
        <v>560</v>
      </c>
      <c r="L11" s="8" t="s">
        <v>486</v>
      </c>
      <c r="M11" t="s">
        <v>487</v>
      </c>
      <c r="N11" t="s">
        <v>174</v>
      </c>
      <c r="O11" t="s">
        <v>551</v>
      </c>
      <c r="P11" s="3" t="s">
        <v>561</v>
      </c>
      <c r="Q11" s="2" t="s">
        <v>562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</row>
    <row r="12" spans="1:29" x14ac:dyDescent="0.25">
      <c r="A12" t="s">
        <v>0</v>
      </c>
      <c r="B12" s="16"/>
      <c r="C12" s="16"/>
      <c r="E12" s="13"/>
      <c r="F12" t="s">
        <v>565</v>
      </c>
      <c r="G12" t="s">
        <v>566</v>
      </c>
      <c r="H12" s="19" t="s">
        <v>554</v>
      </c>
      <c r="I12" s="19" t="s">
        <v>555</v>
      </c>
      <c r="J12" s="3" t="s">
        <v>557</v>
      </c>
      <c r="K12" t="s">
        <v>558</v>
      </c>
      <c r="L12" s="16"/>
      <c r="M12" s="16"/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</row>
    <row r="13" spans="1:29" x14ac:dyDescent="0.25">
      <c r="A13" t="s">
        <v>0</v>
      </c>
      <c r="C13" s="13"/>
      <c r="D13" s="16"/>
      <c r="E13" s="16"/>
      <c r="F13" t="s">
        <v>569</v>
      </c>
      <c r="G13" t="s">
        <v>570</v>
      </c>
      <c r="H13" s="20"/>
      <c r="I13" s="20"/>
      <c r="J13" s="3" t="s">
        <v>567</v>
      </c>
      <c r="K13" t="s">
        <v>568</v>
      </c>
      <c r="L13" s="13"/>
      <c r="M13" s="13"/>
      <c r="N13" t="s">
        <v>0</v>
      </c>
      <c r="O13" t="s">
        <v>0</v>
      </c>
      <c r="P13" t="s">
        <v>0</v>
      </c>
      <c r="Q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</row>
    <row r="14" spans="1:29" ht="16.5" customHeight="1" x14ac:dyDescent="0.25">
      <c r="A14" t="s">
        <v>0</v>
      </c>
      <c r="B14" s="16"/>
      <c r="C14" s="16"/>
      <c r="D14" t="s">
        <v>0</v>
      </c>
      <c r="E14" t="s">
        <v>0</v>
      </c>
      <c r="F14" s="16"/>
      <c r="G14" s="16"/>
      <c r="H14" s="13"/>
      <c r="I14" s="13"/>
      <c r="J14" s="16"/>
      <c r="K14" s="16"/>
      <c r="L14" s="16"/>
      <c r="M14" s="16"/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</row>
    <row r="15" spans="1:29" ht="16.5" customHeight="1" x14ac:dyDescent="0.25">
      <c r="F15" s="13"/>
      <c r="G15" s="13"/>
      <c r="H15" s="13"/>
      <c r="I15" s="13"/>
      <c r="K15" s="13"/>
    </row>
    <row r="16" spans="1:29" x14ac:dyDescent="0.25">
      <c r="A16" t="s">
        <v>14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15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</row>
    <row r="17" spans="1:29" x14ac:dyDescent="0.25">
      <c r="A17" t="s">
        <v>16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17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</row>
    <row r="18" spans="1:29" x14ac:dyDescent="0.25">
      <c r="A18" t="s">
        <v>18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19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</row>
  </sheetData>
  <mergeCells count="9">
    <mergeCell ref="D11:E11"/>
    <mergeCell ref="B12:C12"/>
    <mergeCell ref="L14:M14"/>
    <mergeCell ref="D13:E13"/>
    <mergeCell ref="H13:I13"/>
    <mergeCell ref="B14:C14"/>
    <mergeCell ref="F14:G14"/>
    <mergeCell ref="J14:K14"/>
    <mergeCell ref="L12:M12"/>
  </mergeCells>
  <phoneticPr fontId="1" type="noConversion"/>
  <pageMargins left="0.7" right="0.7" top="0.75" bottom="0.75" header="0.3" footer="0.3"/>
  <ignoredErrors>
    <ignoredError sqref="A16:A18 B16:E18 F16:I18 J16:K18 L16:M18 N16:AC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7"/>
  <sheetViews>
    <sheetView workbookViewId="0">
      <selection activeCell="N1" sqref="N1:O1048576"/>
    </sheetView>
  </sheetViews>
  <sheetFormatPr defaultColWidth="11" defaultRowHeight="16.5" x14ac:dyDescent="0.25"/>
  <sheetData>
    <row r="1" spans="1:29" s="1" customFormat="1" ht="66" x14ac:dyDescent="0.25">
      <c r="A1" s="1" t="s">
        <v>0</v>
      </c>
      <c r="B1" s="1" t="s">
        <v>571</v>
      </c>
      <c r="C1" s="1" t="s">
        <v>2</v>
      </c>
      <c r="D1" s="1" t="s">
        <v>25</v>
      </c>
      <c r="E1" s="1" t="s">
        <v>25</v>
      </c>
      <c r="F1" s="1" t="s">
        <v>27</v>
      </c>
      <c r="G1" s="1" t="s">
        <v>27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28</v>
      </c>
      <c r="M1" s="1" t="s">
        <v>28</v>
      </c>
      <c r="N1" s="1" t="s">
        <v>29</v>
      </c>
      <c r="O1" s="1" t="s">
        <v>29</v>
      </c>
      <c r="P1" s="1" t="s">
        <v>30</v>
      </c>
      <c r="Q1" s="1" t="s">
        <v>30</v>
      </c>
      <c r="R1" s="1" t="s">
        <v>7</v>
      </c>
      <c r="S1" s="1" t="s">
        <v>8</v>
      </c>
      <c r="T1" s="1" t="s">
        <v>9</v>
      </c>
      <c r="U1" s="1" t="s">
        <v>31</v>
      </c>
      <c r="V1" s="1" t="s">
        <v>9</v>
      </c>
      <c r="W1" s="1" t="s">
        <v>32</v>
      </c>
      <c r="X1" s="1" t="s">
        <v>9</v>
      </c>
      <c r="Y1" s="1" t="s">
        <v>10</v>
      </c>
      <c r="Z1" s="1" t="s">
        <v>9</v>
      </c>
      <c r="AA1" s="1" t="s">
        <v>11</v>
      </c>
      <c r="AB1" s="1" t="s">
        <v>9</v>
      </c>
      <c r="AC1" s="1" t="s">
        <v>12</v>
      </c>
    </row>
    <row r="2" spans="1:29" s="9" customFormat="1" x14ac:dyDescent="0.25">
      <c r="A2" s="9" t="s">
        <v>36</v>
      </c>
      <c r="B2" s="9" t="s">
        <v>186</v>
      </c>
      <c r="C2" s="9" t="s">
        <v>202</v>
      </c>
      <c r="D2" s="14" t="s">
        <v>572</v>
      </c>
      <c r="E2" s="9" t="s">
        <v>556</v>
      </c>
      <c r="F2" s="9" t="s">
        <v>573</v>
      </c>
      <c r="G2" s="14" t="s">
        <v>574</v>
      </c>
      <c r="H2" s="9" t="s">
        <v>185</v>
      </c>
      <c r="I2" s="14" t="s">
        <v>542</v>
      </c>
      <c r="J2" s="9" t="s">
        <v>37</v>
      </c>
      <c r="K2" s="9" t="s">
        <v>183</v>
      </c>
      <c r="L2" s="9" t="s">
        <v>185</v>
      </c>
      <c r="M2" s="9" t="s">
        <v>542</v>
      </c>
      <c r="N2" s="9" t="s">
        <v>557</v>
      </c>
      <c r="O2" s="15" t="s">
        <v>558</v>
      </c>
      <c r="P2" s="15" t="s">
        <v>185</v>
      </c>
      <c r="Q2" s="15" t="s">
        <v>542</v>
      </c>
      <c r="R2" s="9" t="s">
        <v>0</v>
      </c>
      <c r="S2" s="9" t="s">
        <v>0</v>
      </c>
      <c r="T2" s="9" t="s">
        <v>0</v>
      </c>
      <c r="U2" s="9" t="s">
        <v>0</v>
      </c>
      <c r="V2" s="9" t="s">
        <v>0</v>
      </c>
      <c r="W2" s="9" t="s">
        <v>0</v>
      </c>
      <c r="X2" s="9" t="s">
        <v>0</v>
      </c>
      <c r="Y2" s="9" t="s">
        <v>0</v>
      </c>
      <c r="Z2" s="9" t="s">
        <v>0</v>
      </c>
      <c r="AA2" s="9" t="s">
        <v>0</v>
      </c>
      <c r="AB2" s="9" t="s">
        <v>0</v>
      </c>
      <c r="AC2" s="9" t="s">
        <v>0</v>
      </c>
    </row>
    <row r="3" spans="1:29" s="9" customFormat="1" x14ac:dyDescent="0.25">
      <c r="A3" s="9" t="s">
        <v>0</v>
      </c>
      <c r="B3" s="9" t="s">
        <v>191</v>
      </c>
      <c r="C3" s="9" t="s">
        <v>201</v>
      </c>
      <c r="D3" s="14" t="s">
        <v>575</v>
      </c>
      <c r="E3" s="9" t="s">
        <v>202</v>
      </c>
      <c r="F3" s="9" t="s">
        <v>576</v>
      </c>
      <c r="G3" s="14" t="s">
        <v>577</v>
      </c>
      <c r="H3" s="9" t="s">
        <v>578</v>
      </c>
      <c r="I3" s="14" t="s">
        <v>199</v>
      </c>
      <c r="J3" s="9" t="s">
        <v>216</v>
      </c>
      <c r="K3" s="15" t="s">
        <v>579</v>
      </c>
      <c r="L3" s="9" t="s">
        <v>557</v>
      </c>
      <c r="M3" s="15" t="s">
        <v>558</v>
      </c>
      <c r="N3" s="9" t="s">
        <v>582</v>
      </c>
      <c r="O3" s="15" t="s">
        <v>581</v>
      </c>
      <c r="P3" s="15" t="s">
        <v>186</v>
      </c>
      <c r="Q3" s="15" t="s">
        <v>583</v>
      </c>
      <c r="R3" s="9" t="s">
        <v>0</v>
      </c>
      <c r="S3" s="9" t="s">
        <v>0</v>
      </c>
      <c r="T3" s="9" t="s">
        <v>0</v>
      </c>
      <c r="U3" s="9" t="s">
        <v>0</v>
      </c>
      <c r="V3" s="9" t="s">
        <v>0</v>
      </c>
      <c r="W3" s="9" t="s">
        <v>0</v>
      </c>
      <c r="X3" s="9" t="s">
        <v>0</v>
      </c>
      <c r="Y3" s="9" t="s">
        <v>0</v>
      </c>
      <c r="Z3" s="9" t="s">
        <v>0</v>
      </c>
      <c r="AA3" s="9" t="s">
        <v>0</v>
      </c>
      <c r="AB3" s="9" t="s">
        <v>0</v>
      </c>
      <c r="AC3" s="9" t="s">
        <v>0</v>
      </c>
    </row>
    <row r="4" spans="1:29" s="9" customFormat="1" x14ac:dyDescent="0.25">
      <c r="A4" s="9" t="s">
        <v>0</v>
      </c>
      <c r="B4" s="9" t="s">
        <v>194</v>
      </c>
      <c r="C4" s="9" t="s">
        <v>584</v>
      </c>
      <c r="D4" s="14" t="s">
        <v>550</v>
      </c>
      <c r="E4" s="9" t="s">
        <v>201</v>
      </c>
      <c r="F4" s="9" t="s">
        <v>185</v>
      </c>
      <c r="G4" s="14" t="s">
        <v>542</v>
      </c>
      <c r="H4" s="9" t="s">
        <v>585</v>
      </c>
      <c r="I4" s="14" t="s">
        <v>213</v>
      </c>
      <c r="J4" s="15" t="s">
        <v>209</v>
      </c>
      <c r="K4" s="15" t="s">
        <v>586</v>
      </c>
      <c r="L4" s="4" t="s">
        <v>580</v>
      </c>
      <c r="M4" s="15" t="s">
        <v>581</v>
      </c>
      <c r="N4" s="9" t="s">
        <v>462</v>
      </c>
      <c r="O4" s="9" t="s">
        <v>556</v>
      </c>
      <c r="P4" s="15" t="s">
        <v>191</v>
      </c>
      <c r="Q4" s="15" t="s">
        <v>587</v>
      </c>
      <c r="R4" s="9" t="s">
        <v>0</v>
      </c>
      <c r="S4" s="9" t="s">
        <v>0</v>
      </c>
      <c r="T4" s="9" t="s">
        <v>0</v>
      </c>
      <c r="U4" s="9" t="s">
        <v>0</v>
      </c>
      <c r="V4" s="9" t="s">
        <v>0</v>
      </c>
      <c r="W4" s="9" t="s">
        <v>0</v>
      </c>
      <c r="X4" s="9" t="s">
        <v>0</v>
      </c>
      <c r="Y4" s="9" t="s">
        <v>0</v>
      </c>
      <c r="Z4" s="9" t="s">
        <v>0</v>
      </c>
      <c r="AA4" s="9" t="s">
        <v>0</v>
      </c>
      <c r="AB4" s="9" t="s">
        <v>0</v>
      </c>
      <c r="AC4" s="9" t="s">
        <v>0</v>
      </c>
    </row>
    <row r="5" spans="1:29" s="9" customFormat="1" x14ac:dyDescent="0.25">
      <c r="A5" s="9" t="s">
        <v>0</v>
      </c>
      <c r="B5" s="9" t="s">
        <v>500</v>
      </c>
      <c r="C5" s="9" t="s">
        <v>501</v>
      </c>
      <c r="D5" s="14" t="s">
        <v>194</v>
      </c>
      <c r="E5" s="9" t="s">
        <v>584</v>
      </c>
      <c r="F5" s="9" t="s">
        <v>557</v>
      </c>
      <c r="G5" s="14" t="s">
        <v>558</v>
      </c>
      <c r="H5" s="9" t="s">
        <v>588</v>
      </c>
      <c r="I5" s="14" t="s">
        <v>197</v>
      </c>
      <c r="J5" s="15" t="s">
        <v>42</v>
      </c>
      <c r="K5" s="15" t="s">
        <v>542</v>
      </c>
      <c r="L5" s="15" t="s">
        <v>194</v>
      </c>
      <c r="M5" s="15" t="s">
        <v>589</v>
      </c>
      <c r="N5" s="9" t="s">
        <v>196</v>
      </c>
      <c r="O5" s="15" t="s">
        <v>204</v>
      </c>
      <c r="P5" s="15" t="s">
        <v>588</v>
      </c>
      <c r="Q5" s="15" t="s">
        <v>591</v>
      </c>
      <c r="R5" s="9" t="s">
        <v>0</v>
      </c>
      <c r="S5" s="9" t="s">
        <v>0</v>
      </c>
      <c r="T5" s="9" t="s">
        <v>0</v>
      </c>
      <c r="U5" s="9" t="s">
        <v>0</v>
      </c>
      <c r="V5" s="9" t="s">
        <v>0</v>
      </c>
      <c r="W5" s="9" t="s">
        <v>0</v>
      </c>
      <c r="X5" s="9" t="s">
        <v>0</v>
      </c>
      <c r="Y5" s="9" t="s">
        <v>0</v>
      </c>
      <c r="Z5" s="9" t="s">
        <v>0</v>
      </c>
      <c r="AA5" s="9" t="s">
        <v>0</v>
      </c>
      <c r="AB5" s="9" t="s">
        <v>0</v>
      </c>
      <c r="AC5" s="9" t="s">
        <v>0</v>
      </c>
    </row>
    <row r="6" spans="1:29" s="9" customFormat="1" x14ac:dyDescent="0.25">
      <c r="A6" s="9" t="s">
        <v>0</v>
      </c>
      <c r="B6" s="9" t="s">
        <v>189</v>
      </c>
      <c r="C6" s="9" t="s">
        <v>203</v>
      </c>
      <c r="D6" s="14" t="s">
        <v>500</v>
      </c>
      <c r="E6" s="9" t="s">
        <v>501</v>
      </c>
      <c r="F6" s="9" t="s">
        <v>592</v>
      </c>
      <c r="G6" s="14" t="s">
        <v>593</v>
      </c>
      <c r="H6" s="9" t="s">
        <v>594</v>
      </c>
      <c r="I6" s="14" t="s">
        <v>198</v>
      </c>
      <c r="J6" s="15" t="s">
        <v>217</v>
      </c>
      <c r="K6" s="15" t="s">
        <v>197</v>
      </c>
      <c r="L6" s="15" t="s">
        <v>588</v>
      </c>
      <c r="M6" s="15" t="s">
        <v>197</v>
      </c>
      <c r="N6" s="9" t="s">
        <v>595</v>
      </c>
      <c r="O6" s="15" t="s">
        <v>184</v>
      </c>
      <c r="P6" s="15" t="s">
        <v>188</v>
      </c>
      <c r="Q6" s="15" t="s">
        <v>596</v>
      </c>
      <c r="R6" s="9" t="s">
        <v>0</v>
      </c>
      <c r="S6" s="9" t="s">
        <v>0</v>
      </c>
      <c r="T6" s="9" t="s">
        <v>0</v>
      </c>
      <c r="U6" s="9" t="s">
        <v>0</v>
      </c>
      <c r="V6" s="9" t="s">
        <v>0</v>
      </c>
      <c r="W6" s="9" t="s">
        <v>0</v>
      </c>
      <c r="X6" s="9" t="s">
        <v>0</v>
      </c>
      <c r="Y6" s="9" t="s">
        <v>0</v>
      </c>
      <c r="Z6" s="9" t="s">
        <v>0</v>
      </c>
      <c r="AA6" s="9" t="s">
        <v>0</v>
      </c>
      <c r="AB6" s="9" t="s">
        <v>0</v>
      </c>
      <c r="AC6" s="9" t="s">
        <v>0</v>
      </c>
    </row>
    <row r="7" spans="1:29" s="9" customFormat="1" x14ac:dyDescent="0.25">
      <c r="A7" s="9" t="s">
        <v>0</v>
      </c>
      <c r="B7" s="9" t="s">
        <v>192</v>
      </c>
      <c r="C7" s="9" t="s">
        <v>200</v>
      </c>
      <c r="D7" s="14" t="s">
        <v>189</v>
      </c>
      <c r="E7" s="9" t="s">
        <v>203</v>
      </c>
      <c r="F7" s="9" t="s">
        <v>194</v>
      </c>
      <c r="G7" s="14" t="s">
        <v>584</v>
      </c>
      <c r="H7" s="9" t="s">
        <v>597</v>
      </c>
      <c r="I7" s="21" t="s">
        <v>619</v>
      </c>
      <c r="J7" s="15" t="s">
        <v>187</v>
      </c>
      <c r="K7" s="15" t="s">
        <v>198</v>
      </c>
      <c r="L7" s="15" t="s">
        <v>188</v>
      </c>
      <c r="M7" s="15" t="s">
        <v>198</v>
      </c>
      <c r="N7" s="9" t="s">
        <v>598</v>
      </c>
      <c r="O7" s="15" t="s">
        <v>599</v>
      </c>
      <c r="P7" s="15" t="s">
        <v>190</v>
      </c>
      <c r="Q7" s="15" t="s">
        <v>600</v>
      </c>
      <c r="R7" s="9" t="s">
        <v>0</v>
      </c>
      <c r="S7" s="9" t="s">
        <v>0</v>
      </c>
      <c r="T7" s="9" t="s">
        <v>0</v>
      </c>
      <c r="U7" s="9" t="s">
        <v>0</v>
      </c>
      <c r="V7" s="9" t="s">
        <v>0</v>
      </c>
      <c r="W7" s="9" t="s">
        <v>0</v>
      </c>
      <c r="X7" s="9" t="s">
        <v>0</v>
      </c>
      <c r="Y7" s="9" t="s">
        <v>0</v>
      </c>
      <c r="Z7" s="9" t="s">
        <v>0</v>
      </c>
      <c r="AA7" s="9" t="s">
        <v>0</v>
      </c>
      <c r="AB7" s="9" t="s">
        <v>0</v>
      </c>
      <c r="AC7" s="9" t="s">
        <v>0</v>
      </c>
    </row>
    <row r="8" spans="1:29" s="9" customFormat="1" x14ac:dyDescent="0.25">
      <c r="A8" s="9" t="s">
        <v>0</v>
      </c>
      <c r="B8" s="9" t="s">
        <v>588</v>
      </c>
      <c r="C8" s="9" t="s">
        <v>197</v>
      </c>
      <c r="D8" s="14" t="s">
        <v>192</v>
      </c>
      <c r="E8" s="9" t="s">
        <v>200</v>
      </c>
      <c r="F8" s="9" t="s">
        <v>601</v>
      </c>
      <c r="G8" s="14" t="s">
        <v>602</v>
      </c>
      <c r="H8" s="9" t="s">
        <v>595</v>
      </c>
      <c r="I8" s="21" t="s">
        <v>620</v>
      </c>
      <c r="J8" s="15" t="s">
        <v>40</v>
      </c>
      <c r="K8" s="15" t="s">
        <v>200</v>
      </c>
      <c r="L8" s="15" t="s">
        <v>462</v>
      </c>
      <c r="M8" s="4" t="s">
        <v>38</v>
      </c>
      <c r="N8" t="s">
        <v>189</v>
      </c>
      <c r="O8" s="15" t="s">
        <v>203</v>
      </c>
      <c r="P8" s="15" t="s">
        <v>196</v>
      </c>
      <c r="Q8" s="15" t="s">
        <v>604</v>
      </c>
      <c r="R8" s="9" t="s">
        <v>0</v>
      </c>
      <c r="S8" s="9" t="s">
        <v>0</v>
      </c>
      <c r="T8" s="9" t="s">
        <v>0</v>
      </c>
      <c r="U8" s="9" t="s">
        <v>0</v>
      </c>
      <c r="V8" s="9" t="s">
        <v>0</v>
      </c>
      <c r="W8" s="9" t="s">
        <v>0</v>
      </c>
      <c r="X8" s="9" t="s">
        <v>0</v>
      </c>
      <c r="Y8" s="9" t="s">
        <v>0</v>
      </c>
      <c r="Z8" s="9" t="s">
        <v>0</v>
      </c>
      <c r="AA8" s="9" t="s">
        <v>0</v>
      </c>
      <c r="AB8" s="9" t="s">
        <v>0</v>
      </c>
      <c r="AC8" s="9" t="s">
        <v>0</v>
      </c>
    </row>
    <row r="9" spans="1:29" s="9" customFormat="1" x14ac:dyDescent="0.25">
      <c r="A9" s="9" t="s">
        <v>0</v>
      </c>
      <c r="B9" s="9" t="s">
        <v>188</v>
      </c>
      <c r="C9" s="9" t="s">
        <v>198</v>
      </c>
      <c r="D9" s="14" t="s">
        <v>588</v>
      </c>
      <c r="E9" s="9" t="s">
        <v>197</v>
      </c>
      <c r="F9" s="9" t="s">
        <v>208</v>
      </c>
      <c r="G9" s="14" t="s">
        <v>212</v>
      </c>
      <c r="H9" s="21" t="s">
        <v>598</v>
      </c>
      <c r="I9" s="21" t="s">
        <v>621</v>
      </c>
      <c r="J9" s="15" t="s">
        <v>39</v>
      </c>
      <c r="K9" s="15" t="s">
        <v>203</v>
      </c>
      <c r="L9" s="4" t="s">
        <v>590</v>
      </c>
      <c r="M9" s="15" t="s">
        <v>204</v>
      </c>
      <c r="N9" t="s">
        <v>192</v>
      </c>
      <c r="O9" s="15" t="s">
        <v>200</v>
      </c>
      <c r="P9" s="15" t="s">
        <v>189</v>
      </c>
      <c r="Q9" s="15" t="s">
        <v>603</v>
      </c>
      <c r="R9" s="9" t="s">
        <v>0</v>
      </c>
      <c r="S9" s="9" t="s">
        <v>0</v>
      </c>
      <c r="T9" s="9" t="s">
        <v>0</v>
      </c>
      <c r="U9" s="9" t="s">
        <v>0</v>
      </c>
      <c r="V9" s="9" t="s">
        <v>0</v>
      </c>
      <c r="W9" s="9" t="s">
        <v>0</v>
      </c>
      <c r="X9" s="9" t="s">
        <v>0</v>
      </c>
      <c r="Y9" s="9" t="s">
        <v>0</v>
      </c>
      <c r="Z9" s="9" t="s">
        <v>0</v>
      </c>
      <c r="AA9" s="9" t="s">
        <v>0</v>
      </c>
      <c r="AB9" s="9" t="s">
        <v>0</v>
      </c>
      <c r="AC9" s="9" t="s">
        <v>0</v>
      </c>
    </row>
    <row r="10" spans="1:29" s="9" customFormat="1" x14ac:dyDescent="0.25">
      <c r="A10" s="9" t="s">
        <v>0</v>
      </c>
      <c r="B10" s="9" t="s">
        <v>196</v>
      </c>
      <c r="C10" s="9" t="s">
        <v>605</v>
      </c>
      <c r="D10" s="14" t="s">
        <v>188</v>
      </c>
      <c r="E10" s="9" t="s">
        <v>198</v>
      </c>
      <c r="F10" s="9" t="s">
        <v>588</v>
      </c>
      <c r="G10" s="14" t="s">
        <v>197</v>
      </c>
      <c r="H10" s="21" t="s">
        <v>194</v>
      </c>
      <c r="I10" s="21" t="s">
        <v>584</v>
      </c>
      <c r="J10" s="15" t="s">
        <v>218</v>
      </c>
      <c r="K10" s="15" t="s">
        <v>184</v>
      </c>
      <c r="L10" s="15" t="s">
        <v>606</v>
      </c>
      <c r="M10" s="15" t="s">
        <v>607</v>
      </c>
      <c r="N10" t="s">
        <v>194</v>
      </c>
      <c r="O10" s="15" t="s">
        <v>589</v>
      </c>
      <c r="P10" s="15" t="s">
        <v>609</v>
      </c>
      <c r="Q10" s="15" t="s">
        <v>610</v>
      </c>
      <c r="R10" s="9" t="s">
        <v>0</v>
      </c>
      <c r="S10" s="9" t="s">
        <v>0</v>
      </c>
      <c r="T10" s="9" t="s">
        <v>0</v>
      </c>
      <c r="U10" s="9" t="s">
        <v>0</v>
      </c>
      <c r="V10" s="9" t="s">
        <v>0</v>
      </c>
      <c r="W10" s="9" t="s">
        <v>0</v>
      </c>
      <c r="X10" s="9" t="s">
        <v>0</v>
      </c>
      <c r="Y10" s="9" t="s">
        <v>0</v>
      </c>
      <c r="Z10" s="9" t="s">
        <v>0</v>
      </c>
      <c r="AA10" s="9" t="s">
        <v>0</v>
      </c>
      <c r="AB10" s="9" t="s">
        <v>0</v>
      </c>
      <c r="AC10" s="9" t="s">
        <v>0</v>
      </c>
    </row>
    <row r="11" spans="1:29" s="9" customFormat="1" x14ac:dyDescent="0.25">
      <c r="A11" s="9" t="s">
        <v>0</v>
      </c>
      <c r="B11" t="s">
        <v>0</v>
      </c>
      <c r="C11" t="s">
        <v>0</v>
      </c>
      <c r="D11" t="s">
        <v>0</v>
      </c>
      <c r="E11" t="s">
        <v>0</v>
      </c>
      <c r="F11" s="9" t="s">
        <v>188</v>
      </c>
      <c r="G11" s="14" t="s">
        <v>198</v>
      </c>
      <c r="H11" t="s">
        <v>0</v>
      </c>
      <c r="I11" t="s">
        <v>0</v>
      </c>
      <c r="J11" s="15" t="s">
        <v>219</v>
      </c>
      <c r="K11" s="15" t="s">
        <v>220</v>
      </c>
      <c r="L11" t="s">
        <v>0</v>
      </c>
      <c r="M11" t="s">
        <v>0</v>
      </c>
      <c r="N11" t="s">
        <v>588</v>
      </c>
      <c r="O11" s="15" t="s">
        <v>197</v>
      </c>
      <c r="P11" s="15" t="s">
        <v>194</v>
      </c>
      <c r="Q11" s="15" t="s">
        <v>608</v>
      </c>
      <c r="R11" s="9" t="s">
        <v>0</v>
      </c>
      <c r="S11" s="9" t="s">
        <v>0</v>
      </c>
      <c r="T11" s="9" t="s">
        <v>0</v>
      </c>
      <c r="U11" s="9" t="s">
        <v>0</v>
      </c>
      <c r="V11" s="9" t="s">
        <v>0</v>
      </c>
      <c r="W11" s="9" t="s">
        <v>0</v>
      </c>
      <c r="X11" s="9" t="s">
        <v>0</v>
      </c>
      <c r="Y11" s="9" t="s">
        <v>0</v>
      </c>
      <c r="Z11" s="9" t="s">
        <v>0</v>
      </c>
      <c r="AA11" s="9" t="s">
        <v>0</v>
      </c>
      <c r="AB11" s="9" t="s">
        <v>0</v>
      </c>
      <c r="AC11" s="9" t="s">
        <v>0</v>
      </c>
    </row>
    <row r="12" spans="1:29" s="9" customFormat="1" x14ac:dyDescent="0.25">
      <c r="A12" s="9" t="s">
        <v>0</v>
      </c>
      <c r="B12" t="s">
        <v>0</v>
      </c>
      <c r="C12" t="s">
        <v>0</v>
      </c>
      <c r="D12" t="s">
        <v>0</v>
      </c>
      <c r="E12" t="s">
        <v>0</v>
      </c>
      <c r="F12" s="9" t="s">
        <v>611</v>
      </c>
      <c r="G12" s="14" t="s">
        <v>612</v>
      </c>
      <c r="H12"/>
      <c r="I12"/>
      <c r="J12" s="15" t="s">
        <v>193</v>
      </c>
      <c r="K12" s="15" t="s">
        <v>589</v>
      </c>
      <c r="L12" t="s">
        <v>0</v>
      </c>
      <c r="M12" t="s">
        <v>0</v>
      </c>
      <c r="N12" s="9" t="s">
        <v>188</v>
      </c>
      <c r="O12" s="15" t="s">
        <v>198</v>
      </c>
      <c r="P12" s="15" t="s">
        <v>195</v>
      </c>
      <c r="Q12" s="15" t="s">
        <v>613</v>
      </c>
      <c r="R12" s="9" t="s">
        <v>0</v>
      </c>
      <c r="S12" s="9" t="s">
        <v>0</v>
      </c>
      <c r="T12" s="9" t="s">
        <v>0</v>
      </c>
      <c r="U12" s="9" t="s">
        <v>0</v>
      </c>
      <c r="V12" s="9" t="s">
        <v>0</v>
      </c>
      <c r="W12" s="9" t="s">
        <v>0</v>
      </c>
      <c r="X12" s="9" t="s">
        <v>0</v>
      </c>
      <c r="Y12" s="9" t="s">
        <v>0</v>
      </c>
      <c r="Z12" s="9" t="s">
        <v>0</v>
      </c>
      <c r="AA12" s="9" t="s">
        <v>0</v>
      </c>
      <c r="AB12" s="9" t="s">
        <v>0</v>
      </c>
      <c r="AC12" s="9" t="s">
        <v>0</v>
      </c>
    </row>
    <row r="13" spans="1:29" x14ac:dyDescent="0.25">
      <c r="A13" t="s">
        <v>14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15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</row>
    <row r="14" spans="1:29" x14ac:dyDescent="0.25">
      <c r="A14" t="s">
        <v>16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17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</row>
    <row r="15" spans="1:29" x14ac:dyDescent="0.25">
      <c r="A15" t="s">
        <v>18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19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</row>
    <row r="16" spans="1:29" x14ac:dyDescent="0.25">
      <c r="F16" s="9" t="s">
        <v>614</v>
      </c>
      <c r="G16" s="14" t="s">
        <v>615</v>
      </c>
    </row>
    <row r="17" spans="6:7" x14ac:dyDescent="0.25">
      <c r="F17" s="9" t="s">
        <v>616</v>
      </c>
      <c r="G17" s="14" t="s">
        <v>617</v>
      </c>
    </row>
  </sheetData>
  <phoneticPr fontId="1" type="noConversion"/>
  <pageMargins left="0.7" right="0.7" top="0.75" bottom="0.75" header="0.3" footer="0.3"/>
  <ignoredErrors>
    <ignoredError sqref="A13:A15 B13:E15 F13:I15 J13:K15 L13:M15 N13:AC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5"/>
  <sheetViews>
    <sheetView workbookViewId="0">
      <selection activeCell="N1" sqref="N1:O1048576"/>
    </sheetView>
  </sheetViews>
  <sheetFormatPr defaultColWidth="11" defaultRowHeight="16.5" x14ac:dyDescent="0.25"/>
  <sheetData>
    <row r="1" spans="1:27" s="1" customFormat="1" ht="66" x14ac:dyDescent="0.25">
      <c r="A1" s="1" t="s">
        <v>0</v>
      </c>
      <c r="B1" s="1" t="s">
        <v>2</v>
      </c>
      <c r="C1" s="1" t="s">
        <v>2</v>
      </c>
      <c r="D1" s="1" t="s">
        <v>25</v>
      </c>
      <c r="E1" s="1" t="s">
        <v>25</v>
      </c>
      <c r="F1" s="1" t="s">
        <v>27</v>
      </c>
      <c r="G1" s="1" t="s">
        <v>27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28</v>
      </c>
      <c r="M1" s="1" t="s">
        <v>28</v>
      </c>
      <c r="N1" s="1" t="s">
        <v>29</v>
      </c>
      <c r="O1" s="1" t="s">
        <v>29</v>
      </c>
      <c r="P1" s="1" t="s">
        <v>30</v>
      </c>
      <c r="Q1" s="1" t="s">
        <v>30</v>
      </c>
      <c r="R1" s="1" t="s">
        <v>7</v>
      </c>
      <c r="S1" s="1" t="s">
        <v>31</v>
      </c>
      <c r="T1" s="1" t="s">
        <v>9</v>
      </c>
      <c r="U1" s="1" t="s">
        <v>32</v>
      </c>
      <c r="V1" s="1" t="s">
        <v>9</v>
      </c>
      <c r="W1" s="1" t="s">
        <v>10</v>
      </c>
      <c r="X1" s="1" t="s">
        <v>9</v>
      </c>
      <c r="Y1" s="1" t="s">
        <v>11</v>
      </c>
      <c r="Z1" s="1" t="s">
        <v>9</v>
      </c>
      <c r="AA1" s="1" t="s">
        <v>12</v>
      </c>
    </row>
    <row r="2" spans="1:27" x14ac:dyDescent="0.25">
      <c r="A2" t="s">
        <v>41</v>
      </c>
      <c r="B2" t="s">
        <v>205</v>
      </c>
      <c r="C2" t="s">
        <v>215</v>
      </c>
      <c r="D2" s="7" t="s">
        <v>196</v>
      </c>
      <c r="E2" t="s">
        <v>605</v>
      </c>
      <c r="F2" s="7" t="s">
        <v>0</v>
      </c>
      <c r="G2" s="7" t="s">
        <v>0</v>
      </c>
      <c r="H2" s="18" t="s">
        <v>622</v>
      </c>
      <c r="I2" s="18" t="s">
        <v>224</v>
      </c>
      <c r="J2" s="3" t="s">
        <v>221</v>
      </c>
      <c r="K2" s="2" t="s">
        <v>224</v>
      </c>
      <c r="L2" t="s">
        <v>205</v>
      </c>
      <c r="M2" t="s">
        <v>215</v>
      </c>
      <c r="N2" t="s">
        <v>205</v>
      </c>
      <c r="O2" t="s">
        <v>215</v>
      </c>
      <c r="P2" t="s">
        <v>205</v>
      </c>
      <c r="Q2" t="s">
        <v>215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</row>
    <row r="3" spans="1:27" x14ac:dyDescent="0.25">
      <c r="A3" t="s">
        <v>0</v>
      </c>
      <c r="B3" t="s">
        <v>206</v>
      </c>
      <c r="C3" t="s">
        <v>214</v>
      </c>
      <c r="D3" s="7" t="s">
        <v>205</v>
      </c>
      <c r="E3" t="s">
        <v>215</v>
      </c>
      <c r="F3" s="7" t="s">
        <v>0</v>
      </c>
      <c r="G3" s="7" t="s">
        <v>0</v>
      </c>
      <c r="H3" s="18" t="s">
        <v>623</v>
      </c>
      <c r="I3" s="18" t="s">
        <v>225</v>
      </c>
      <c r="J3" s="3" t="s">
        <v>222</v>
      </c>
      <c r="K3" s="2" t="s">
        <v>225</v>
      </c>
      <c r="L3" t="s">
        <v>206</v>
      </c>
      <c r="M3" t="s">
        <v>214</v>
      </c>
      <c r="N3" t="s">
        <v>206</v>
      </c>
      <c r="O3" t="s">
        <v>214</v>
      </c>
      <c r="P3" t="s">
        <v>206</v>
      </c>
      <c r="Q3" t="s">
        <v>214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</row>
    <row r="4" spans="1:27" x14ac:dyDescent="0.25">
      <c r="A4" t="s">
        <v>0</v>
      </c>
      <c r="B4" t="s">
        <v>210</v>
      </c>
      <c r="C4" t="s">
        <v>213</v>
      </c>
      <c r="D4" s="7" t="s">
        <v>206</v>
      </c>
      <c r="E4" t="s">
        <v>618</v>
      </c>
      <c r="F4" s="7" t="s">
        <v>0</v>
      </c>
      <c r="G4" s="7" t="s">
        <v>0</v>
      </c>
      <c r="H4" s="18" t="s">
        <v>196</v>
      </c>
      <c r="I4" s="18" t="s">
        <v>605</v>
      </c>
      <c r="J4" s="3" t="s">
        <v>223</v>
      </c>
      <c r="K4" s="2" t="s">
        <v>226</v>
      </c>
      <c r="L4" t="s">
        <v>210</v>
      </c>
      <c r="M4" t="s">
        <v>213</v>
      </c>
      <c r="N4" t="s">
        <v>210</v>
      </c>
      <c r="O4" t="s">
        <v>213</v>
      </c>
      <c r="P4" t="s">
        <v>210</v>
      </c>
      <c r="Q4" t="s">
        <v>213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</row>
    <row r="5" spans="1:27" x14ac:dyDescent="0.25">
      <c r="A5" t="s">
        <v>0</v>
      </c>
      <c r="B5" t="s">
        <v>208</v>
      </c>
      <c r="C5" t="s">
        <v>212</v>
      </c>
      <c r="D5" s="7" t="s">
        <v>210</v>
      </c>
      <c r="E5" t="s">
        <v>213</v>
      </c>
      <c r="F5" s="7" t="s">
        <v>0</v>
      </c>
      <c r="G5" s="7" t="s">
        <v>0</v>
      </c>
      <c r="H5" s="18" t="s">
        <v>208</v>
      </c>
      <c r="I5" s="18" t="s">
        <v>212</v>
      </c>
      <c r="J5" s="3" t="s">
        <v>207</v>
      </c>
      <c r="K5" s="2" t="s">
        <v>211</v>
      </c>
      <c r="L5" t="s">
        <v>208</v>
      </c>
      <c r="M5" t="s">
        <v>212</v>
      </c>
      <c r="N5" t="s">
        <v>208</v>
      </c>
      <c r="O5" t="s">
        <v>212</v>
      </c>
      <c r="P5" t="s">
        <v>208</v>
      </c>
      <c r="Q5" t="s">
        <v>212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</row>
    <row r="6" spans="1:27" x14ac:dyDescent="0.25">
      <c r="A6" t="s">
        <v>0</v>
      </c>
      <c r="B6" t="s">
        <v>0</v>
      </c>
      <c r="C6" t="s">
        <v>0</v>
      </c>
      <c r="D6" s="7" t="s">
        <v>208</v>
      </c>
      <c r="E6" t="s">
        <v>212</v>
      </c>
      <c r="F6" s="7" t="s">
        <v>0</v>
      </c>
      <c r="G6" s="7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</row>
    <row r="7" spans="1:27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s="7" t="s">
        <v>0</v>
      </c>
      <c r="G7" s="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</row>
    <row r="8" spans="1:27" ht="16.5" customHeight="1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s="7" t="s">
        <v>0</v>
      </c>
      <c r="G8" s="7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</row>
    <row r="9" spans="1:27" x14ac:dyDescent="0.25">
      <c r="A9" t="s">
        <v>43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</row>
    <row r="10" spans="1:27" x14ac:dyDescent="0.25">
      <c r="A10" t="s">
        <v>44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</row>
    <row r="11" spans="1:27" x14ac:dyDescent="0.25">
      <c r="A11" t="s">
        <v>45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</row>
    <row r="12" spans="1:27" x14ac:dyDescent="0.25">
      <c r="A12" t="s">
        <v>46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</row>
    <row r="13" spans="1:27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</row>
    <row r="14" spans="1:27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</row>
    <row r="15" spans="1:27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</row>
    <row r="16" spans="1:27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</row>
    <row r="17" spans="1:27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</row>
    <row r="18" spans="1:27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</row>
    <row r="19" spans="1:27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</row>
    <row r="20" spans="1:27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</row>
    <row r="21" spans="1:27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</row>
    <row r="22" spans="1:27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</row>
    <row r="23" spans="1:27" x14ac:dyDescent="0.25">
      <c r="A23" t="s">
        <v>14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15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</row>
    <row r="24" spans="1:27" x14ac:dyDescent="0.25">
      <c r="A24" t="s">
        <v>16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17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</row>
    <row r="25" spans="1:27" x14ac:dyDescent="0.25">
      <c r="A25" t="s">
        <v>18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19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</row>
  </sheetData>
  <phoneticPr fontId="1" type="noConversion"/>
  <pageMargins left="0.7" right="0.7" top="0.75" bottom="0.75" header="0.3" footer="0.3"/>
  <ignoredErrors>
    <ignoredError sqref="A23:A25 A16:A22 L16:M22 B23:E25 B16:E22 F23:I25 F16:I22 J23:K25 L23:M25 N16:AA22 N23:AA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"/>
  <sheetViews>
    <sheetView workbookViewId="0"/>
  </sheetViews>
  <sheetFormatPr defaultColWidth="11" defaultRowHeight="16.5" x14ac:dyDescent="0.25"/>
  <sheetData>
    <row r="1" spans="1:19" x14ac:dyDescent="0.25">
      <c r="B1" t="s">
        <v>47</v>
      </c>
      <c r="C1" t="s">
        <v>48</v>
      </c>
      <c r="D1" t="s">
        <v>49</v>
      </c>
      <c r="E1" t="s">
        <v>9</v>
      </c>
      <c r="F1" t="s">
        <v>50</v>
      </c>
      <c r="G1" t="s">
        <v>49</v>
      </c>
      <c r="H1" t="s">
        <v>9</v>
      </c>
      <c r="I1" t="s">
        <v>51</v>
      </c>
      <c r="J1" t="s">
        <v>49</v>
      </c>
      <c r="K1" t="s">
        <v>9</v>
      </c>
      <c r="L1" t="s">
        <v>52</v>
      </c>
      <c r="M1" t="s">
        <v>9</v>
      </c>
      <c r="N1" t="s">
        <v>53</v>
      </c>
      <c r="O1" t="s">
        <v>49</v>
      </c>
      <c r="P1" t="s">
        <v>9</v>
      </c>
      <c r="Q1" t="s">
        <v>54</v>
      </c>
      <c r="R1" t="s">
        <v>55</v>
      </c>
      <c r="S1" t="s">
        <v>12</v>
      </c>
    </row>
    <row r="2" spans="1:19" x14ac:dyDescent="0.25">
      <c r="A2" t="s">
        <v>41</v>
      </c>
      <c r="B2">
        <v>2026</v>
      </c>
      <c r="L2">
        <f t="shared" ref="L2:L16" si="0">SUM(D2+G2+J2)</f>
        <v>0</v>
      </c>
      <c r="Q2">
        <f t="shared" ref="Q2:Q16" si="1">SUM(L2/105*65+O2/45*35)</f>
        <v>0</v>
      </c>
      <c r="R2" t="str">
        <f>LOOKUP(Q2,{0,33,49,62,74,83,90},{"-","2","3","4","5","5*","5**"})</f>
        <v>-</v>
      </c>
    </row>
    <row r="3" spans="1:19" x14ac:dyDescent="0.25">
      <c r="B3">
        <v>2025</v>
      </c>
      <c r="L3">
        <f t="shared" si="0"/>
        <v>0</v>
      </c>
      <c r="Q3">
        <f t="shared" si="1"/>
        <v>0</v>
      </c>
      <c r="R3" t="str">
        <f>LOOKUP(Q3,{0,33,49,62,74,83,90},{"-","2","3","4","5","5*","5**"})</f>
        <v>-</v>
      </c>
    </row>
    <row r="4" spans="1:19" x14ac:dyDescent="0.25">
      <c r="B4">
        <v>2024</v>
      </c>
      <c r="L4">
        <f t="shared" si="0"/>
        <v>0</v>
      </c>
      <c r="Q4">
        <f t="shared" si="1"/>
        <v>0</v>
      </c>
      <c r="R4" t="str">
        <f t="array" ref="R4">LOOKUP(Q4,{0,33,51,76,83,89,95},{"-","2","3","4","5","5*","5**"})</f>
        <v>-</v>
      </c>
    </row>
    <row r="5" spans="1:19" x14ac:dyDescent="0.25">
      <c r="B5">
        <v>2023</v>
      </c>
      <c r="L5">
        <f t="shared" si="0"/>
        <v>0</v>
      </c>
      <c r="Q5">
        <f t="shared" si="1"/>
        <v>0</v>
      </c>
      <c r="R5" t="str">
        <f t="array" ref="R5">LOOKUP(Q5,{0,33,54,59,74,82,90},{"-","2","3","4","5","5*","5**"})</f>
        <v>-</v>
      </c>
    </row>
    <row r="6" spans="1:19" x14ac:dyDescent="0.25">
      <c r="B6">
        <v>2022</v>
      </c>
      <c r="L6">
        <f t="shared" si="0"/>
        <v>0</v>
      </c>
      <c r="Q6">
        <f t="shared" si="1"/>
        <v>0</v>
      </c>
      <c r="R6" t="str">
        <f t="array" ref="R6">LOOKUP(Q6,{0,49,61,68,80,87,94},{"-","2","3","4","5","5*","5**"})</f>
        <v>-</v>
      </c>
    </row>
    <row r="7" spans="1:19" x14ac:dyDescent="0.25">
      <c r="B7">
        <v>2021</v>
      </c>
      <c r="L7">
        <f t="shared" si="0"/>
        <v>0</v>
      </c>
      <c r="Q7">
        <f t="shared" si="1"/>
        <v>0</v>
      </c>
      <c r="R7" t="str">
        <f t="array" ref="R7">LOOKUP(Q7,{0,36,55,62,76,84,90},{"-","2","3","4","5","5*","5**"})</f>
        <v>-</v>
      </c>
    </row>
    <row r="8" spans="1:19" x14ac:dyDescent="0.25">
      <c r="B8">
        <v>2020</v>
      </c>
      <c r="L8">
        <f t="shared" si="0"/>
        <v>0</v>
      </c>
      <c r="Q8">
        <f t="shared" si="1"/>
        <v>0</v>
      </c>
      <c r="R8" t="str">
        <f t="array" ref="R8">LOOKUP(Q8,{0,36,61,62,79,87,94},{"-","2","3","4","5","5*","5**"})</f>
        <v>-</v>
      </c>
    </row>
    <row r="9" spans="1:19" x14ac:dyDescent="0.25">
      <c r="B9">
        <v>2019</v>
      </c>
      <c r="L9">
        <f t="shared" si="0"/>
        <v>0</v>
      </c>
      <c r="Q9">
        <f t="shared" si="1"/>
        <v>0</v>
      </c>
      <c r="R9" t="str">
        <f t="array" ref="R9">LOOKUP(Q9,{0,36,53,65,76,84,90},{"-","2","3","4","5","5*","5**"})</f>
        <v>-</v>
      </c>
    </row>
    <row r="10" spans="1:19" x14ac:dyDescent="0.25">
      <c r="B10">
        <v>2018</v>
      </c>
      <c r="L10">
        <f t="shared" si="0"/>
        <v>0</v>
      </c>
      <c r="Q10">
        <f t="shared" si="1"/>
        <v>0</v>
      </c>
      <c r="R10" t="str">
        <f t="array" ref="R10">LOOKUP(Q10,{0,36,52,63,76,83,90},{"-","2","3","4","5","5*","5**"})</f>
        <v>-</v>
      </c>
    </row>
    <row r="11" spans="1:19" x14ac:dyDescent="0.25">
      <c r="B11">
        <v>2017</v>
      </c>
      <c r="L11">
        <f t="shared" si="0"/>
        <v>0</v>
      </c>
      <c r="Q11">
        <f t="shared" si="1"/>
        <v>0</v>
      </c>
      <c r="R11" t="str">
        <f t="array" ref="R11">LOOKUP(Q11,{0,36,55,67,82,87,93},{"-","2","3","4","5","5*","5**"})</f>
        <v>-</v>
      </c>
    </row>
    <row r="12" spans="1:19" x14ac:dyDescent="0.25">
      <c r="B12">
        <v>2016</v>
      </c>
      <c r="L12">
        <f t="shared" si="0"/>
        <v>0</v>
      </c>
      <c r="Q12">
        <f t="shared" si="1"/>
        <v>0</v>
      </c>
      <c r="R12" t="str">
        <f t="array" ref="R12">LOOKUP(Q12,{0,36,59,66,78,86,92},{"-","2","3","4","5","5*","5**"})</f>
        <v>-</v>
      </c>
    </row>
    <row r="13" spans="1:19" x14ac:dyDescent="0.25">
      <c r="B13">
        <v>2015</v>
      </c>
      <c r="L13">
        <f t="shared" si="0"/>
        <v>0</v>
      </c>
      <c r="Q13">
        <f t="shared" si="1"/>
        <v>0</v>
      </c>
      <c r="R13" t="str">
        <f t="array" ref="R13">LOOKUP(Q13,{0,36,52,65,80,87,93},{"-","2","3","4","5","5*","5**"})</f>
        <v>-</v>
      </c>
    </row>
    <row r="14" spans="1:19" x14ac:dyDescent="0.25">
      <c r="B14">
        <v>2014</v>
      </c>
      <c r="L14">
        <f t="shared" si="0"/>
        <v>0</v>
      </c>
      <c r="Q14">
        <f t="shared" si="1"/>
        <v>0</v>
      </c>
      <c r="R14" t="str">
        <f t="array" ref="R14">LOOKUP(Q14,{0,36,50,65,79,87,92},{"-","2","3","4","5","5*","5**"})</f>
        <v>-</v>
      </c>
    </row>
    <row r="15" spans="1:19" x14ac:dyDescent="0.25">
      <c r="B15">
        <v>2013</v>
      </c>
      <c r="L15">
        <f t="shared" si="0"/>
        <v>0</v>
      </c>
      <c r="Q15">
        <f t="shared" si="1"/>
        <v>0</v>
      </c>
      <c r="R15" t="str">
        <f t="array" ref="R15">LOOKUP(Q15,{0,36,52,61,74,81,89},{"-","2","3","4","5","5*","5**"})</f>
        <v>-</v>
      </c>
    </row>
    <row r="16" spans="1:19" x14ac:dyDescent="0.25">
      <c r="B16">
        <v>2012</v>
      </c>
      <c r="L16">
        <f t="shared" si="0"/>
        <v>0</v>
      </c>
      <c r="Q16">
        <f t="shared" si="1"/>
        <v>0</v>
      </c>
      <c r="R16" t="str">
        <f t="array" ref="R16">LOOKUP(Q16,{0,36,58,67,79,82,89},{"-","2","3","4","5","5*","5**"})</f>
        <v>-</v>
      </c>
    </row>
    <row r="19" spans="1:2" x14ac:dyDescent="0.25">
      <c r="A19" t="s">
        <v>14</v>
      </c>
      <c r="B19" t="s">
        <v>15</v>
      </c>
    </row>
    <row r="20" spans="1:2" x14ac:dyDescent="0.25">
      <c r="A20" t="s">
        <v>16</v>
      </c>
      <c r="B20" t="s">
        <v>17</v>
      </c>
    </row>
    <row r="21" spans="1:2" x14ac:dyDescent="0.25">
      <c r="A21" t="s">
        <v>18</v>
      </c>
      <c r="B21" t="s">
        <v>19</v>
      </c>
    </row>
  </sheetData>
  <phoneticPr fontId="1" type="noConversion"/>
  <pageMargins left="0.7" right="0.7" top="0.75" bottom="0.75" header="0.3" footer="0.3"/>
  <ignoredErrors>
    <ignoredError sqref="A1:S100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9"/>
  <sheetViews>
    <sheetView workbookViewId="0"/>
  </sheetViews>
  <sheetFormatPr defaultColWidth="11" defaultRowHeight="16.5" x14ac:dyDescent="0.25"/>
  <sheetData>
    <row r="1" spans="1:14" x14ac:dyDescent="0.25">
      <c r="B1" t="s">
        <v>56</v>
      </c>
      <c r="C1" t="s">
        <v>57</v>
      </c>
      <c r="D1" t="s">
        <v>48</v>
      </c>
      <c r="E1" t="s">
        <v>50</v>
      </c>
      <c r="F1" t="s">
        <v>58</v>
      </c>
      <c r="G1" t="s">
        <v>52</v>
      </c>
      <c r="H1" t="s">
        <v>9</v>
      </c>
      <c r="I1" t="s">
        <v>53</v>
      </c>
      <c r="J1" t="s">
        <v>9</v>
      </c>
      <c r="K1" t="s">
        <v>54</v>
      </c>
      <c r="L1" t="s">
        <v>59</v>
      </c>
      <c r="M1" t="s">
        <v>60</v>
      </c>
      <c r="N1" t="s">
        <v>12</v>
      </c>
    </row>
    <row r="2" spans="1:14" x14ac:dyDescent="0.25">
      <c r="A2" t="s">
        <v>41</v>
      </c>
      <c r="G2">
        <f t="shared" ref="G2:G39" si="0">SUM(D2:F2)</f>
        <v>0</v>
      </c>
      <c r="K2">
        <f t="shared" ref="K2:K39" si="1">SUM(G2/105*65+I2/45*35)</f>
        <v>0</v>
      </c>
      <c r="L2" t="str">
        <f>LOOKUP(K2,{0,49,61,68,82,87,94},{"-","2","3","4","5","5*","5**"})</f>
        <v>-</v>
      </c>
      <c r="M2" t="str">
        <f>LOOKUP(K2,{0,36,50,61,76,81,89},{"-","2","3","4","5","5*","5**"})</f>
        <v>-</v>
      </c>
    </row>
    <row r="3" spans="1:14" x14ac:dyDescent="0.25">
      <c r="G3">
        <f t="shared" si="0"/>
        <v>0</v>
      </c>
      <c r="K3">
        <f t="shared" si="1"/>
        <v>0</v>
      </c>
      <c r="L3" t="str">
        <f>LOOKUP(K3,{0,49,61,68,82,87,94},{"-","2","3","4","5","5*","5**"})</f>
        <v>-</v>
      </c>
      <c r="M3" t="str">
        <f>LOOKUP(K3,{0,36,50,61,76,81,89},{"-","2","3","4","5","5*","5**"})</f>
        <v>-</v>
      </c>
    </row>
    <row r="4" spans="1:14" x14ac:dyDescent="0.25">
      <c r="G4">
        <f t="shared" si="0"/>
        <v>0</v>
      </c>
      <c r="K4">
        <f t="shared" si="1"/>
        <v>0</v>
      </c>
      <c r="L4" t="str">
        <f>LOOKUP(K4,{0,49,61,68,82,87,94},{"-","2","3","4","5","5*","5**"})</f>
        <v>-</v>
      </c>
      <c r="M4" t="str">
        <f>LOOKUP(K4,{0,36,50,61,76,81,89},{"-","2","3","4","5","5*","5**"})</f>
        <v>-</v>
      </c>
    </row>
    <row r="5" spans="1:14" x14ac:dyDescent="0.25">
      <c r="G5">
        <f t="shared" si="0"/>
        <v>0</v>
      </c>
      <c r="K5">
        <f t="shared" si="1"/>
        <v>0</v>
      </c>
      <c r="L5" t="str">
        <f>LOOKUP(K5,{0,49,61,68,82,87,94},{"-","2","3","4","5","5*","5**"})</f>
        <v>-</v>
      </c>
      <c r="M5" t="str">
        <f>LOOKUP(K5,{0,36,50,61,76,81,89},{"-","2","3","4","5","5*","5**"})</f>
        <v>-</v>
      </c>
    </row>
    <row r="6" spans="1:14" x14ac:dyDescent="0.25">
      <c r="G6">
        <f t="shared" si="0"/>
        <v>0</v>
      </c>
      <c r="K6">
        <f t="shared" si="1"/>
        <v>0</v>
      </c>
      <c r="L6" t="str">
        <f>LOOKUP(K6,{0,49,61,68,82,87,94},{"-","2","3","4","5","5*","5**"})</f>
        <v>-</v>
      </c>
      <c r="M6" t="str">
        <f>LOOKUP(K6,{0,36,50,61,76,81,89},{"-","2","3","4","5","5*","5**"})</f>
        <v>-</v>
      </c>
    </row>
    <row r="7" spans="1:14" x14ac:dyDescent="0.25">
      <c r="G7">
        <f t="shared" si="0"/>
        <v>0</v>
      </c>
      <c r="K7">
        <f t="shared" si="1"/>
        <v>0</v>
      </c>
      <c r="L7" t="str">
        <f>LOOKUP(K7,{0,49,61,68,82,87,94},{"-","2","3","4","5","5*","5**"})</f>
        <v>-</v>
      </c>
      <c r="M7" t="str">
        <f>LOOKUP(K7,{0,36,50,61,76,81,89},{"-","2","3","4","5","5*","5**"})</f>
        <v>-</v>
      </c>
    </row>
    <row r="8" spans="1:14" x14ac:dyDescent="0.25">
      <c r="G8">
        <f t="shared" si="0"/>
        <v>0</v>
      </c>
      <c r="K8">
        <f t="shared" si="1"/>
        <v>0</v>
      </c>
      <c r="L8" t="str">
        <f>LOOKUP(K8,{0,49,61,68,82,87,94},{"-","2","3","4","5","5*","5**"})</f>
        <v>-</v>
      </c>
      <c r="M8" t="str">
        <f>LOOKUP(K8,{0,36,50,61,76,81,89},{"-","2","3","4","5","5*","5**"})</f>
        <v>-</v>
      </c>
    </row>
    <row r="9" spans="1:14" x14ac:dyDescent="0.25">
      <c r="G9">
        <f t="shared" si="0"/>
        <v>0</v>
      </c>
      <c r="K9">
        <f t="shared" si="1"/>
        <v>0</v>
      </c>
      <c r="L9" t="str">
        <f>LOOKUP(K9,{0,49,61,68,82,87,94},{"-","2","3","4","5","5*","5**"})</f>
        <v>-</v>
      </c>
      <c r="M9" t="str">
        <f>LOOKUP(K9,{0,36,50,61,76,81,89},{"-","2","3","4","5","5*","5**"})</f>
        <v>-</v>
      </c>
    </row>
    <row r="10" spans="1:14" x14ac:dyDescent="0.25">
      <c r="G10">
        <f t="shared" si="0"/>
        <v>0</v>
      </c>
      <c r="K10">
        <f t="shared" si="1"/>
        <v>0</v>
      </c>
      <c r="L10" t="str">
        <f>LOOKUP(K10,{0,49,61,68,82,87,94},{"-","2","3","4","5","5*","5**"})</f>
        <v>-</v>
      </c>
      <c r="M10" t="str">
        <f>LOOKUP(K10,{0,36,50,61,76,81,89},{"-","2","3","4","5","5*","5**"})</f>
        <v>-</v>
      </c>
    </row>
    <row r="11" spans="1:14" x14ac:dyDescent="0.25">
      <c r="G11">
        <f t="shared" si="0"/>
        <v>0</v>
      </c>
      <c r="K11">
        <f t="shared" si="1"/>
        <v>0</v>
      </c>
      <c r="L11" t="str">
        <f>LOOKUP(K11,{0,49,61,68,82,87,94},{"-","2","3","4","5","5*","5**"})</f>
        <v>-</v>
      </c>
      <c r="M11" t="str">
        <f>LOOKUP(K11,{0,36,50,61,76,81,89},{"-","2","3","4","5","5*","5**"})</f>
        <v>-</v>
      </c>
    </row>
    <row r="12" spans="1:14" x14ac:dyDescent="0.25">
      <c r="G12">
        <f t="shared" si="0"/>
        <v>0</v>
      </c>
      <c r="K12">
        <f t="shared" si="1"/>
        <v>0</v>
      </c>
      <c r="L12" t="str">
        <f>LOOKUP(K12,{0,49,61,68,82,87,94},{"-","2","3","4","5","5*","5**"})</f>
        <v>-</v>
      </c>
      <c r="M12" t="str">
        <f>LOOKUP(K12,{0,36,50,61,76,81,89},{"-","2","3","4","5","5*","5**"})</f>
        <v>-</v>
      </c>
    </row>
    <row r="13" spans="1:14" x14ac:dyDescent="0.25">
      <c r="G13">
        <f t="shared" si="0"/>
        <v>0</v>
      </c>
      <c r="K13">
        <f t="shared" si="1"/>
        <v>0</v>
      </c>
      <c r="L13" t="str">
        <f>LOOKUP(K13,{0,49,61,68,82,87,94},{"-","2","3","4","5","5*","5**"})</f>
        <v>-</v>
      </c>
      <c r="M13" t="str">
        <f>LOOKUP(K13,{0,36,50,61,76,81,89},{"-","2","3","4","5","5*","5**"})</f>
        <v>-</v>
      </c>
    </row>
    <row r="14" spans="1:14" x14ac:dyDescent="0.25">
      <c r="G14">
        <f t="shared" si="0"/>
        <v>0</v>
      </c>
      <c r="K14">
        <f t="shared" si="1"/>
        <v>0</v>
      </c>
      <c r="L14" t="str">
        <f>LOOKUP(K14,{0,49,61,68,82,87,94},{"-","2","3","4","5","5*","5**"})</f>
        <v>-</v>
      </c>
      <c r="M14" t="str">
        <f>LOOKUP(K14,{0,36,50,61,76,81,89},{"-","2","3","4","5","5*","5**"})</f>
        <v>-</v>
      </c>
    </row>
    <row r="15" spans="1:14" x14ac:dyDescent="0.25">
      <c r="G15">
        <f t="shared" si="0"/>
        <v>0</v>
      </c>
      <c r="K15">
        <f t="shared" si="1"/>
        <v>0</v>
      </c>
      <c r="L15" t="str">
        <f>LOOKUP(K15,{0,49,61,68,82,87,94},{"-","2","3","4","5","5*","5**"})</f>
        <v>-</v>
      </c>
      <c r="M15" t="str">
        <f>LOOKUP(K15,{0,36,50,61,76,81,89},{"-","2","3","4","5","5*","5**"})</f>
        <v>-</v>
      </c>
    </row>
    <row r="16" spans="1:14" x14ac:dyDescent="0.25">
      <c r="G16">
        <f t="shared" si="0"/>
        <v>0</v>
      </c>
      <c r="K16">
        <f t="shared" si="1"/>
        <v>0</v>
      </c>
      <c r="L16" t="str">
        <f>LOOKUP(K16,{0,49,61,68,82,87,94},{"-","2","3","4","5","5*","5**"})</f>
        <v>-</v>
      </c>
      <c r="M16" t="str">
        <f>LOOKUP(K16,{0,36,50,61,76,81,89},{"-","2","3","4","5","5*","5**"})</f>
        <v>-</v>
      </c>
    </row>
    <row r="17" spans="7:13" x14ac:dyDescent="0.25">
      <c r="G17">
        <f t="shared" si="0"/>
        <v>0</v>
      </c>
      <c r="K17">
        <f t="shared" si="1"/>
        <v>0</v>
      </c>
      <c r="L17" t="str">
        <f>LOOKUP(K17,{0,49,61,68,82,87,94},{"-","2","3","4","5","5*","5**"})</f>
        <v>-</v>
      </c>
      <c r="M17" t="str">
        <f>LOOKUP(K17,{0,36,50,61,76,81,89},{"-","2","3","4","5","5*","5**"})</f>
        <v>-</v>
      </c>
    </row>
    <row r="18" spans="7:13" x14ac:dyDescent="0.25">
      <c r="G18">
        <f t="shared" si="0"/>
        <v>0</v>
      </c>
      <c r="K18">
        <f t="shared" si="1"/>
        <v>0</v>
      </c>
      <c r="L18" t="str">
        <f>LOOKUP(K18,{0,49,61,68,82,87,94},{"-","2","3","4","5","5*","5**"})</f>
        <v>-</v>
      </c>
      <c r="M18" t="str">
        <f>LOOKUP(K18,{0,36,50,61,76,81,89},{"-","2","3","4","5","5*","5**"})</f>
        <v>-</v>
      </c>
    </row>
    <row r="19" spans="7:13" x14ac:dyDescent="0.25">
      <c r="G19">
        <f t="shared" si="0"/>
        <v>0</v>
      </c>
      <c r="K19">
        <f t="shared" si="1"/>
        <v>0</v>
      </c>
      <c r="L19" t="str">
        <f>LOOKUP(K19,{0,49,61,68,82,87,94},{"-","2","3","4","5","5*","5**"})</f>
        <v>-</v>
      </c>
      <c r="M19" t="str">
        <f>LOOKUP(K19,{0,36,50,61,76,81,89},{"-","2","3","4","5","5*","5**"})</f>
        <v>-</v>
      </c>
    </row>
    <row r="20" spans="7:13" x14ac:dyDescent="0.25">
      <c r="G20">
        <f t="shared" si="0"/>
        <v>0</v>
      </c>
      <c r="K20">
        <f t="shared" si="1"/>
        <v>0</v>
      </c>
      <c r="L20" t="str">
        <f>LOOKUP(K20,{0,49,61,68,82,87,94},{"-","2","3","4","5","5*","5**"})</f>
        <v>-</v>
      </c>
      <c r="M20" t="str">
        <f>LOOKUP(K20,{0,36,50,61,76,81,89},{"-","2","3","4","5","5*","5**"})</f>
        <v>-</v>
      </c>
    </row>
    <row r="21" spans="7:13" x14ac:dyDescent="0.25">
      <c r="G21">
        <f t="shared" si="0"/>
        <v>0</v>
      </c>
      <c r="K21">
        <f t="shared" si="1"/>
        <v>0</v>
      </c>
      <c r="L21" t="str">
        <f>LOOKUP(K21,{0,49,61,68,82,87,94},{"-","2","3","4","5","5*","5**"})</f>
        <v>-</v>
      </c>
      <c r="M21" t="str">
        <f>LOOKUP(K21,{0,36,50,61,76,81,89},{"-","2","3","4","5","5*","5**"})</f>
        <v>-</v>
      </c>
    </row>
    <row r="22" spans="7:13" x14ac:dyDescent="0.25">
      <c r="G22">
        <f t="shared" si="0"/>
        <v>0</v>
      </c>
      <c r="K22">
        <f t="shared" si="1"/>
        <v>0</v>
      </c>
      <c r="L22" t="str">
        <f>LOOKUP(K22,{0,49,61,68,82,87,94},{"-","2","3","4","5","5*","5**"})</f>
        <v>-</v>
      </c>
      <c r="M22" t="str">
        <f>LOOKUP(K22,{0,36,50,61,76,81,89},{"-","2","3","4","5","5*","5**"})</f>
        <v>-</v>
      </c>
    </row>
    <row r="23" spans="7:13" x14ac:dyDescent="0.25">
      <c r="G23">
        <f t="shared" si="0"/>
        <v>0</v>
      </c>
      <c r="K23">
        <f t="shared" si="1"/>
        <v>0</v>
      </c>
      <c r="L23" t="str">
        <f>LOOKUP(K23,{0,49,61,68,82,87,94},{"-","2","3","4","5","5*","5**"})</f>
        <v>-</v>
      </c>
      <c r="M23" t="str">
        <f>LOOKUP(K23,{0,36,50,61,76,81,89},{"-","2","3","4","5","5*","5**"})</f>
        <v>-</v>
      </c>
    </row>
    <row r="24" spans="7:13" x14ac:dyDescent="0.25">
      <c r="G24">
        <f t="shared" si="0"/>
        <v>0</v>
      </c>
      <c r="K24">
        <f t="shared" si="1"/>
        <v>0</v>
      </c>
      <c r="L24" t="str">
        <f>LOOKUP(K24,{0,49,61,68,82,87,94},{"-","2","3","4","5","5*","5**"})</f>
        <v>-</v>
      </c>
      <c r="M24" t="str">
        <f>LOOKUP(K24,{0,36,50,61,76,81,89},{"-","2","3","4","5","5*","5**"})</f>
        <v>-</v>
      </c>
    </row>
    <row r="25" spans="7:13" x14ac:dyDescent="0.25">
      <c r="G25">
        <f t="shared" si="0"/>
        <v>0</v>
      </c>
      <c r="K25">
        <f t="shared" si="1"/>
        <v>0</v>
      </c>
      <c r="L25" t="str">
        <f>LOOKUP(K25,{0,49,61,68,82,87,94},{"-","2","3","4","5","5*","5**"})</f>
        <v>-</v>
      </c>
      <c r="M25" t="str">
        <f>LOOKUP(K25,{0,36,50,61,76,81,89},{"-","2","3","4","5","5*","5**"})</f>
        <v>-</v>
      </c>
    </row>
    <row r="26" spans="7:13" x14ac:dyDescent="0.25">
      <c r="G26">
        <f t="shared" si="0"/>
        <v>0</v>
      </c>
      <c r="K26">
        <f t="shared" si="1"/>
        <v>0</v>
      </c>
      <c r="L26" t="str">
        <f>LOOKUP(K26,{0,49,61,68,82,87,94},{"-","2","3","4","5","5*","5**"})</f>
        <v>-</v>
      </c>
      <c r="M26" t="str">
        <f>LOOKUP(K26,{0,36,50,61,76,81,89},{"-","2","3","4","5","5*","5**"})</f>
        <v>-</v>
      </c>
    </row>
    <row r="27" spans="7:13" x14ac:dyDescent="0.25">
      <c r="G27">
        <f t="shared" si="0"/>
        <v>0</v>
      </c>
      <c r="K27">
        <f t="shared" si="1"/>
        <v>0</v>
      </c>
      <c r="L27" t="str">
        <f>LOOKUP(K27,{0,49,61,68,82,87,94},{"-","2","3","4","5","5*","5**"})</f>
        <v>-</v>
      </c>
      <c r="M27" t="str">
        <f>LOOKUP(K27,{0,36,50,61,76,81,89},{"-","2","3","4","5","5*","5**"})</f>
        <v>-</v>
      </c>
    </row>
    <row r="28" spans="7:13" x14ac:dyDescent="0.25">
      <c r="G28">
        <f t="shared" si="0"/>
        <v>0</v>
      </c>
      <c r="K28">
        <f t="shared" si="1"/>
        <v>0</v>
      </c>
      <c r="L28" t="str">
        <f>LOOKUP(K28,{0,49,61,68,82,87,94},{"-","2","3","4","5","5*","5**"})</f>
        <v>-</v>
      </c>
      <c r="M28" t="str">
        <f>LOOKUP(K28,{0,36,50,61,76,81,89},{"-","2","3","4","5","5*","5**"})</f>
        <v>-</v>
      </c>
    </row>
    <row r="29" spans="7:13" x14ac:dyDescent="0.25">
      <c r="G29">
        <f t="shared" si="0"/>
        <v>0</v>
      </c>
      <c r="K29">
        <f t="shared" si="1"/>
        <v>0</v>
      </c>
      <c r="L29" t="str">
        <f>LOOKUP(K29,{0,49,61,68,82,87,94},{"-","2","3","4","5","5*","5**"})</f>
        <v>-</v>
      </c>
      <c r="M29" t="str">
        <f>LOOKUP(K29,{0,36,50,61,76,81,89},{"-","2","3","4","5","5*","5**"})</f>
        <v>-</v>
      </c>
    </row>
    <row r="30" spans="7:13" x14ac:dyDescent="0.25">
      <c r="G30">
        <f t="shared" si="0"/>
        <v>0</v>
      </c>
      <c r="K30">
        <f t="shared" si="1"/>
        <v>0</v>
      </c>
      <c r="L30" t="str">
        <f>LOOKUP(K30,{0,49,61,68,82,87,94},{"-","2","3","4","5","5*","5**"})</f>
        <v>-</v>
      </c>
      <c r="M30" t="str">
        <f>LOOKUP(K30,{0,36,50,61,76,81,89},{"-","2","3","4","5","5*","5**"})</f>
        <v>-</v>
      </c>
    </row>
    <row r="31" spans="7:13" x14ac:dyDescent="0.25">
      <c r="G31">
        <f t="shared" si="0"/>
        <v>0</v>
      </c>
      <c r="K31">
        <f t="shared" si="1"/>
        <v>0</v>
      </c>
      <c r="L31" t="str">
        <f>LOOKUP(K31,{0,49,61,68,82,87,94},{"-","2","3","4","5","5*","5**"})</f>
        <v>-</v>
      </c>
      <c r="M31" t="str">
        <f>LOOKUP(K31,{0,36,50,61,76,81,89},{"-","2","3","4","5","5*","5**"})</f>
        <v>-</v>
      </c>
    </row>
    <row r="32" spans="7:13" x14ac:dyDescent="0.25">
      <c r="G32">
        <f t="shared" si="0"/>
        <v>0</v>
      </c>
      <c r="K32">
        <f t="shared" si="1"/>
        <v>0</v>
      </c>
      <c r="L32" t="str">
        <f>LOOKUP(K32,{0,49,61,68,82,87,94},{"-","2","3","4","5","5*","5**"})</f>
        <v>-</v>
      </c>
      <c r="M32" t="str">
        <f>LOOKUP(K32,{0,36,50,61,76,81,89},{"-","2","3","4","5","5*","5**"})</f>
        <v>-</v>
      </c>
    </row>
    <row r="33" spans="7:13" x14ac:dyDescent="0.25">
      <c r="G33">
        <f t="shared" si="0"/>
        <v>0</v>
      </c>
      <c r="K33">
        <f t="shared" si="1"/>
        <v>0</v>
      </c>
      <c r="L33" t="str">
        <f>LOOKUP(K33,{0,49,61,68,82,87,94},{"-","2","3","4","5","5*","5**"})</f>
        <v>-</v>
      </c>
      <c r="M33" t="str">
        <f>LOOKUP(K33,{0,36,50,61,76,81,89},{"-","2","3","4","5","5*","5**"})</f>
        <v>-</v>
      </c>
    </row>
    <row r="34" spans="7:13" x14ac:dyDescent="0.25">
      <c r="G34">
        <f t="shared" si="0"/>
        <v>0</v>
      </c>
      <c r="K34">
        <f t="shared" si="1"/>
        <v>0</v>
      </c>
      <c r="L34" t="str">
        <f>LOOKUP(K34,{0,49,61,68,82,87,94},{"-","2","3","4","5","5*","5**"})</f>
        <v>-</v>
      </c>
      <c r="M34" t="str">
        <f>LOOKUP(K34,{0,36,50,61,76,81,89},{"-","2","3","4","5","5*","5**"})</f>
        <v>-</v>
      </c>
    </row>
    <row r="35" spans="7:13" x14ac:dyDescent="0.25">
      <c r="G35">
        <f t="shared" si="0"/>
        <v>0</v>
      </c>
      <c r="K35">
        <f t="shared" si="1"/>
        <v>0</v>
      </c>
      <c r="L35" t="str">
        <f>LOOKUP(K35,{0,49,61,68,82,87,94},{"-","2","3","4","5","5*","5**"})</f>
        <v>-</v>
      </c>
      <c r="M35" t="str">
        <f>LOOKUP(K35,{0,36,50,61,76,81,89},{"-","2","3","4","5","5*","5**"})</f>
        <v>-</v>
      </c>
    </row>
    <row r="36" spans="7:13" x14ac:dyDescent="0.25">
      <c r="G36">
        <f t="shared" si="0"/>
        <v>0</v>
      </c>
      <c r="K36">
        <f t="shared" si="1"/>
        <v>0</v>
      </c>
      <c r="L36" t="str">
        <f>LOOKUP(K36,{0,49,61,68,82,87,94},{"-","2","3","4","5","5*","5**"})</f>
        <v>-</v>
      </c>
      <c r="M36" t="str">
        <f>LOOKUP(K36,{0,36,50,61,76,81,89},{"-","2","3","4","5","5*","5**"})</f>
        <v>-</v>
      </c>
    </row>
    <row r="37" spans="7:13" x14ac:dyDescent="0.25">
      <c r="G37">
        <f t="shared" si="0"/>
        <v>0</v>
      </c>
      <c r="K37">
        <f t="shared" si="1"/>
        <v>0</v>
      </c>
      <c r="L37" t="str">
        <f>LOOKUP(K37,{0,49,61,68,82,87,94},{"-","2","3","4","5","5*","5**"})</f>
        <v>-</v>
      </c>
      <c r="M37" t="str">
        <f>LOOKUP(K37,{0,36,50,61,76,81,89},{"-","2","3","4","5","5*","5**"})</f>
        <v>-</v>
      </c>
    </row>
    <row r="38" spans="7:13" x14ac:dyDescent="0.25">
      <c r="G38">
        <f t="shared" si="0"/>
        <v>0</v>
      </c>
      <c r="K38">
        <f t="shared" si="1"/>
        <v>0</v>
      </c>
      <c r="L38" t="str">
        <f>LOOKUP(K38,{0,49,61,68,82,87,94},{"-","2","3","4","5","5*","5**"})</f>
        <v>-</v>
      </c>
      <c r="M38" t="str">
        <f>LOOKUP(K38,{0,36,50,61,76,81,89},{"-","2","3","4","5","5*","5**"})</f>
        <v>-</v>
      </c>
    </row>
    <row r="39" spans="7:13" x14ac:dyDescent="0.25">
      <c r="G39">
        <f t="shared" si="0"/>
        <v>0</v>
      </c>
      <c r="K39">
        <f t="shared" si="1"/>
        <v>0</v>
      </c>
      <c r="L39" t="str">
        <f>LOOKUP(K39,{0,49,61,68,82,87,94},{"-","2","3","4","5","5*","5**"})</f>
        <v>-</v>
      </c>
      <c r="M39" t="str">
        <f>LOOKUP(K39,{0,36,50,61,76,81,89},{"-","2","3","4","5","5*","5**"})</f>
        <v>-</v>
      </c>
    </row>
  </sheetData>
  <phoneticPr fontId="1" type="noConversion"/>
  <pageMargins left="0.7" right="0.7" top="0.75" bottom="0.75" header="0.3" footer="0.3"/>
  <ignoredErrors>
    <ignoredError sqref="A1:N100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"/>
  <sheetViews>
    <sheetView workbookViewId="0"/>
  </sheetViews>
  <sheetFormatPr defaultColWidth="11" defaultRowHeight="16.5" x14ac:dyDescent="0.25"/>
  <sheetData>
    <row r="1" spans="1:16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</row>
    <row r="2" spans="1:16" x14ac:dyDescent="0.25">
      <c r="A2" t="s">
        <v>77</v>
      </c>
      <c r="B2" t="s">
        <v>78</v>
      </c>
      <c r="C2" t="s">
        <v>79</v>
      </c>
      <c r="D2" t="s">
        <v>78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</row>
    <row r="3" spans="1:16" x14ac:dyDescent="0.25">
      <c r="A3" t="s">
        <v>91</v>
      </c>
      <c r="B3" t="s">
        <v>92</v>
      </c>
      <c r="C3" t="s">
        <v>93</v>
      </c>
      <c r="D3" t="s">
        <v>92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L3" t="s">
        <v>101</v>
      </c>
      <c r="M3" t="s">
        <v>100</v>
      </c>
      <c r="N3" t="s">
        <v>102</v>
      </c>
      <c r="O3" t="s">
        <v>103</v>
      </c>
      <c r="P3" t="s">
        <v>104</v>
      </c>
    </row>
    <row r="4" spans="1:16" x14ac:dyDescent="0.25">
      <c r="A4" t="s">
        <v>105</v>
      </c>
      <c r="B4" t="s">
        <v>106</v>
      </c>
      <c r="C4" t="s">
        <v>107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  <c r="I4" t="s">
        <v>111</v>
      </c>
      <c r="J4" t="s">
        <v>112</v>
      </c>
      <c r="K4" t="s">
        <v>113</v>
      </c>
      <c r="L4" t="s">
        <v>114</v>
      </c>
      <c r="M4" t="s">
        <v>115</v>
      </c>
      <c r="N4" t="s">
        <v>116</v>
      </c>
      <c r="O4" t="s">
        <v>117</v>
      </c>
      <c r="P4" t="s">
        <v>118</v>
      </c>
    </row>
    <row r="5" spans="1:16" x14ac:dyDescent="0.25">
      <c r="A5" t="s">
        <v>119</v>
      </c>
      <c r="B5" t="s">
        <v>120</v>
      </c>
      <c r="C5" t="s">
        <v>121</v>
      </c>
      <c r="D5" t="s">
        <v>120</v>
      </c>
      <c r="E5" t="s">
        <v>122</v>
      </c>
      <c r="F5" t="s">
        <v>123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  <c r="L5" t="s">
        <v>129</v>
      </c>
      <c r="M5" t="s">
        <v>130</v>
      </c>
      <c r="N5" t="s">
        <v>131</v>
      </c>
      <c r="O5" t="s">
        <v>132</v>
      </c>
      <c r="P5" t="s">
        <v>133</v>
      </c>
    </row>
    <row r="6" spans="1:16" x14ac:dyDescent="0.25">
      <c r="A6" t="s">
        <v>134</v>
      </c>
      <c r="B6" t="s">
        <v>135</v>
      </c>
      <c r="C6" t="s">
        <v>136</v>
      </c>
      <c r="D6" t="s">
        <v>135</v>
      </c>
      <c r="E6" t="s">
        <v>137</v>
      </c>
      <c r="F6" t="s">
        <v>138</v>
      </c>
      <c r="G6" t="s">
        <v>139</v>
      </c>
      <c r="H6" t="s">
        <v>140</v>
      </c>
      <c r="I6" t="s">
        <v>141</v>
      </c>
      <c r="J6" t="s">
        <v>142</v>
      </c>
      <c r="K6" t="s">
        <v>143</v>
      </c>
      <c r="L6" t="s">
        <v>144</v>
      </c>
      <c r="M6" t="s">
        <v>145</v>
      </c>
      <c r="N6" t="s">
        <v>146</v>
      </c>
      <c r="O6" t="s">
        <v>142</v>
      </c>
      <c r="P6" t="s">
        <v>147</v>
      </c>
    </row>
    <row r="7" spans="1:16" x14ac:dyDescent="0.25">
      <c r="A7" t="s">
        <v>148</v>
      </c>
      <c r="B7" t="s">
        <v>149</v>
      </c>
      <c r="C7" t="s">
        <v>149</v>
      </c>
      <c r="D7" t="s">
        <v>149</v>
      </c>
      <c r="E7" t="s">
        <v>149</v>
      </c>
      <c r="F7" t="s">
        <v>150</v>
      </c>
      <c r="G7" t="s">
        <v>151</v>
      </c>
      <c r="H7" t="s">
        <v>152</v>
      </c>
      <c r="I7" t="s">
        <v>153</v>
      </c>
      <c r="J7" t="s">
        <v>154</v>
      </c>
      <c r="K7" t="s">
        <v>152</v>
      </c>
      <c r="L7" t="s">
        <v>152</v>
      </c>
      <c r="M7" t="s">
        <v>152</v>
      </c>
      <c r="N7" t="s">
        <v>153</v>
      </c>
      <c r="O7" t="s">
        <v>155</v>
      </c>
      <c r="P7" t="s">
        <v>156</v>
      </c>
    </row>
  </sheetData>
  <phoneticPr fontId="1" type="noConversion"/>
  <pageMargins left="0.7" right="0.7" top="0.75" bottom="0.75" header="0.3" footer="0.3"/>
  <ignoredErrors>
    <ignoredError sqref="A1:P100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/>
  </sheetViews>
  <sheetFormatPr defaultColWidth="11" defaultRowHeight="16.5" x14ac:dyDescent="0.25"/>
  <sheetData>
    <row r="1" spans="1:2" x14ac:dyDescent="0.25">
      <c r="A1" t="s">
        <v>9</v>
      </c>
      <c r="B1" t="s">
        <v>157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"/>
  <sheetViews>
    <sheetView workbookViewId="0"/>
  </sheetViews>
  <sheetFormatPr defaultColWidth="11" defaultRowHeight="16.5" x14ac:dyDescent="0.25"/>
  <sheetData>
    <row r="3" spans="1:1" x14ac:dyDescent="0.25">
      <c r="A3" t="s">
        <v>9</v>
      </c>
    </row>
  </sheetData>
  <phoneticPr fontId="1" type="noConversion"/>
  <pageMargins left="0.7" right="0.7" top="0.75" bottom="0.75" header="0.3" footer="0.3"/>
  <ignoredErrors>
    <ignoredError sqref="A1:A100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1"/>
  <sheetViews>
    <sheetView workbookViewId="0">
      <selection sqref="A1:XFD1048576"/>
    </sheetView>
  </sheetViews>
  <sheetFormatPr defaultColWidth="11" defaultRowHeight="16.5" x14ac:dyDescent="0.25"/>
  <sheetData>
    <row r="1" spans="1:18" ht="99" x14ac:dyDescent="0.25">
      <c r="B1" t="s">
        <v>158</v>
      </c>
      <c r="C1" t="s">
        <v>158</v>
      </c>
      <c r="D1" t="s">
        <v>7</v>
      </c>
      <c r="E1" t="s">
        <v>9</v>
      </c>
      <c r="F1" t="s">
        <v>12</v>
      </c>
      <c r="H1" s="1" t="s">
        <v>624</v>
      </c>
      <c r="I1" s="1" t="s">
        <v>624</v>
      </c>
      <c r="K1" s="1" t="s">
        <v>625</v>
      </c>
      <c r="L1" s="1" t="s">
        <v>625</v>
      </c>
      <c r="N1" s="1" t="s">
        <v>626</v>
      </c>
      <c r="O1" s="1" t="s">
        <v>626</v>
      </c>
      <c r="Q1" s="1" t="s">
        <v>627</v>
      </c>
      <c r="R1" s="1" t="s">
        <v>26</v>
      </c>
    </row>
    <row r="2" spans="1:18" x14ac:dyDescent="0.25">
      <c r="A2" t="s">
        <v>159</v>
      </c>
      <c r="H2" t="s">
        <v>628</v>
      </c>
      <c r="I2" s="1" t="s">
        <v>629</v>
      </c>
      <c r="N2" t="s">
        <v>630</v>
      </c>
      <c r="O2" t="s">
        <v>631</v>
      </c>
      <c r="Q2" t="s">
        <v>632</v>
      </c>
      <c r="R2" t="s">
        <v>633</v>
      </c>
    </row>
    <row r="3" spans="1:18" x14ac:dyDescent="0.25">
      <c r="H3" t="s">
        <v>634</v>
      </c>
      <c r="I3" t="s">
        <v>531</v>
      </c>
      <c r="N3" t="s">
        <v>635</v>
      </c>
      <c r="O3" t="s">
        <v>636</v>
      </c>
      <c r="Q3" t="s">
        <v>532</v>
      </c>
      <c r="R3" t="s">
        <v>533</v>
      </c>
    </row>
    <row r="4" spans="1:18" x14ac:dyDescent="0.25">
      <c r="H4" t="s">
        <v>637</v>
      </c>
      <c r="I4" t="s">
        <v>638</v>
      </c>
      <c r="N4" t="s">
        <v>639</v>
      </c>
      <c r="O4" t="s">
        <v>640</v>
      </c>
      <c r="Q4" t="s">
        <v>641</v>
      </c>
      <c r="R4" t="s">
        <v>642</v>
      </c>
    </row>
    <row r="5" spans="1:18" x14ac:dyDescent="0.25">
      <c r="H5" t="s">
        <v>639</v>
      </c>
      <c r="I5" t="s">
        <v>643</v>
      </c>
      <c r="N5" t="s">
        <v>644</v>
      </c>
      <c r="O5" t="s">
        <v>645</v>
      </c>
      <c r="Q5" t="s">
        <v>639</v>
      </c>
      <c r="R5" t="s">
        <v>643</v>
      </c>
    </row>
    <row r="6" spans="1:18" x14ac:dyDescent="0.25">
      <c r="H6" t="s">
        <v>644</v>
      </c>
      <c r="I6" t="s">
        <v>646</v>
      </c>
      <c r="N6" t="s">
        <v>647</v>
      </c>
      <c r="O6" t="s">
        <v>648</v>
      </c>
      <c r="Q6" t="s">
        <v>644</v>
      </c>
      <c r="R6" t="s">
        <v>646</v>
      </c>
    </row>
    <row r="7" spans="1:18" x14ac:dyDescent="0.25">
      <c r="H7" t="s">
        <v>649</v>
      </c>
      <c r="I7" t="s">
        <v>650</v>
      </c>
      <c r="N7" t="s">
        <v>651</v>
      </c>
      <c r="O7" t="s">
        <v>652</v>
      </c>
      <c r="Q7" t="s">
        <v>647</v>
      </c>
      <c r="R7" t="s">
        <v>648</v>
      </c>
    </row>
    <row r="8" spans="1:18" x14ac:dyDescent="0.25">
      <c r="H8" t="s">
        <v>653</v>
      </c>
      <c r="I8" t="s">
        <v>654</v>
      </c>
      <c r="N8" t="s">
        <v>655</v>
      </c>
      <c r="O8" t="s">
        <v>656</v>
      </c>
      <c r="Q8" t="s">
        <v>657</v>
      </c>
      <c r="R8" t="s">
        <v>658</v>
      </c>
    </row>
    <row r="9" spans="1:18" x14ac:dyDescent="0.25">
      <c r="H9" t="s">
        <v>659</v>
      </c>
      <c r="I9" t="s">
        <v>660</v>
      </c>
      <c r="N9" t="s">
        <v>661</v>
      </c>
      <c r="O9" t="s">
        <v>662</v>
      </c>
      <c r="Q9" t="s">
        <v>663</v>
      </c>
      <c r="R9" t="s">
        <v>664</v>
      </c>
    </row>
    <row r="10" spans="1:18" x14ac:dyDescent="0.25">
      <c r="H10" t="s">
        <v>665</v>
      </c>
      <c r="I10" t="s">
        <v>666</v>
      </c>
      <c r="N10" t="s">
        <v>667</v>
      </c>
      <c r="O10" t="s">
        <v>668</v>
      </c>
      <c r="Q10" t="s">
        <v>661</v>
      </c>
      <c r="R10" t="s">
        <v>662</v>
      </c>
    </row>
    <row r="11" spans="1:18" x14ac:dyDescent="0.25">
      <c r="H11" t="s">
        <v>669</v>
      </c>
      <c r="I11" t="s">
        <v>670</v>
      </c>
      <c r="N11" t="s">
        <v>671</v>
      </c>
      <c r="O11" t="s">
        <v>672</v>
      </c>
      <c r="Q11" t="s">
        <v>673</v>
      </c>
      <c r="R11" t="s">
        <v>674</v>
      </c>
    </row>
    <row r="12" spans="1:18" x14ac:dyDescent="0.25">
      <c r="H12" t="s">
        <v>675</v>
      </c>
      <c r="I12" t="s">
        <v>676</v>
      </c>
      <c r="N12" t="s">
        <v>677</v>
      </c>
      <c r="O12" t="s">
        <v>678</v>
      </c>
      <c r="Q12" t="s">
        <v>679</v>
      </c>
      <c r="R12" t="s">
        <v>680</v>
      </c>
    </row>
    <row r="13" spans="1:18" x14ac:dyDescent="0.25">
      <c r="H13" t="s">
        <v>681</v>
      </c>
      <c r="I13" t="s">
        <v>682</v>
      </c>
      <c r="N13" t="s">
        <v>683</v>
      </c>
      <c r="O13" t="s">
        <v>684</v>
      </c>
      <c r="Q13" t="s">
        <v>685</v>
      </c>
      <c r="R13" t="s">
        <v>686</v>
      </c>
    </row>
    <row r="14" spans="1:18" x14ac:dyDescent="0.25">
      <c r="H14" t="s">
        <v>687</v>
      </c>
      <c r="I14" t="s">
        <v>688</v>
      </c>
      <c r="N14" t="s">
        <v>689</v>
      </c>
      <c r="O14" t="s">
        <v>690</v>
      </c>
      <c r="Q14" t="s">
        <v>691</v>
      </c>
      <c r="R14" t="s">
        <v>692</v>
      </c>
    </row>
    <row r="15" spans="1:18" x14ac:dyDescent="0.25">
      <c r="H15" s="17">
        <v>2024</v>
      </c>
      <c r="I15" s="17"/>
      <c r="N15" s="22" t="s">
        <v>693</v>
      </c>
      <c r="O15" s="22"/>
      <c r="Q15" t="s">
        <v>677</v>
      </c>
      <c r="R15" t="s">
        <v>678</v>
      </c>
    </row>
    <row r="16" spans="1:18" x14ac:dyDescent="0.25">
      <c r="H16" s="12" t="s">
        <v>564</v>
      </c>
      <c r="I16" s="12" t="s">
        <v>564</v>
      </c>
      <c r="N16" s="11" t="s">
        <v>564</v>
      </c>
      <c r="O16" s="11" t="s">
        <v>564</v>
      </c>
      <c r="Q16" t="s">
        <v>683</v>
      </c>
      <c r="R16" t="s">
        <v>694</v>
      </c>
    </row>
    <row r="17" spans="1:18" x14ac:dyDescent="0.25">
      <c r="H17" s="17" t="s">
        <v>563</v>
      </c>
      <c r="I17" s="17"/>
      <c r="N17" s="17" t="s">
        <v>563</v>
      </c>
      <c r="O17" s="17"/>
      <c r="Q17" t="s">
        <v>689</v>
      </c>
      <c r="R17" t="s">
        <v>690</v>
      </c>
    </row>
    <row r="18" spans="1:18" ht="16.5" customHeight="1" x14ac:dyDescent="0.25">
      <c r="A18" t="s">
        <v>14</v>
      </c>
      <c r="B18" t="s">
        <v>15</v>
      </c>
      <c r="H18" s="17" t="s">
        <v>695</v>
      </c>
      <c r="I18" s="17"/>
      <c r="Q18" s="22" t="s">
        <v>693</v>
      </c>
      <c r="R18" s="22"/>
    </row>
    <row r="19" spans="1:18" x14ac:dyDescent="0.25">
      <c r="A19" t="s">
        <v>16</v>
      </c>
      <c r="B19" t="s">
        <v>17</v>
      </c>
      <c r="Q19" s="11" t="s">
        <v>564</v>
      </c>
      <c r="R19" s="11" t="s">
        <v>564</v>
      </c>
    </row>
    <row r="20" spans="1:18" x14ac:dyDescent="0.25">
      <c r="A20" t="s">
        <v>18</v>
      </c>
      <c r="B20" t="s">
        <v>19</v>
      </c>
      <c r="Q20" s="17" t="s">
        <v>563</v>
      </c>
      <c r="R20" s="17"/>
    </row>
    <row r="21" spans="1:18" x14ac:dyDescent="0.25">
      <c r="H21" t="s">
        <v>696</v>
      </c>
      <c r="K21" t="s">
        <v>697</v>
      </c>
      <c r="N21" t="s">
        <v>698</v>
      </c>
      <c r="Q21" t="s">
        <v>699</v>
      </c>
    </row>
  </sheetData>
  <mergeCells count="7">
    <mergeCell ref="Q20:R20"/>
    <mergeCell ref="H15:I15"/>
    <mergeCell ref="N15:O15"/>
    <mergeCell ref="H17:I17"/>
    <mergeCell ref="N17:O17"/>
    <mergeCell ref="H18:I18"/>
    <mergeCell ref="Q18:R18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1"/>
  <sheetViews>
    <sheetView tabSelected="1" workbookViewId="0">
      <selection sqref="A1:XFD1048576"/>
    </sheetView>
  </sheetViews>
  <sheetFormatPr defaultColWidth="11" defaultRowHeight="16.5" x14ac:dyDescent="0.25"/>
  <sheetData>
    <row r="1" spans="1:18" ht="99" x14ac:dyDescent="0.25">
      <c r="B1" t="s">
        <v>158</v>
      </c>
      <c r="C1" t="s">
        <v>158</v>
      </c>
      <c r="D1" t="s">
        <v>7</v>
      </c>
      <c r="E1" t="s">
        <v>9</v>
      </c>
      <c r="F1" t="s">
        <v>12</v>
      </c>
      <c r="H1" s="1" t="s">
        <v>624</v>
      </c>
      <c r="I1" s="1" t="s">
        <v>624</v>
      </c>
      <c r="K1" s="1" t="s">
        <v>625</v>
      </c>
      <c r="L1" s="1" t="s">
        <v>625</v>
      </c>
      <c r="N1" s="1" t="s">
        <v>626</v>
      </c>
      <c r="O1" s="1" t="s">
        <v>626</v>
      </c>
      <c r="Q1" s="1" t="s">
        <v>26</v>
      </c>
      <c r="R1" s="1" t="s">
        <v>26</v>
      </c>
    </row>
    <row r="2" spans="1:18" x14ac:dyDescent="0.25">
      <c r="A2" t="s">
        <v>162</v>
      </c>
      <c r="H2" t="s">
        <v>700</v>
      </c>
      <c r="I2" t="s">
        <v>163</v>
      </c>
      <c r="N2" t="s">
        <v>701</v>
      </c>
      <c r="O2" t="s">
        <v>702</v>
      </c>
      <c r="Q2" t="s">
        <v>700</v>
      </c>
      <c r="R2" s="4" t="s">
        <v>703</v>
      </c>
    </row>
    <row r="3" spans="1:18" x14ac:dyDescent="0.25">
      <c r="H3" t="s">
        <v>632</v>
      </c>
      <c r="I3" t="s">
        <v>633</v>
      </c>
      <c r="N3" t="s">
        <v>704</v>
      </c>
      <c r="O3" t="s">
        <v>705</v>
      </c>
      <c r="Q3" t="s">
        <v>632</v>
      </c>
      <c r="R3" s="23" t="s">
        <v>633</v>
      </c>
    </row>
    <row r="4" spans="1:18" x14ac:dyDescent="0.25">
      <c r="H4" t="s">
        <v>706</v>
      </c>
      <c r="I4" t="s">
        <v>707</v>
      </c>
      <c r="N4" t="s">
        <v>635</v>
      </c>
      <c r="O4" t="s">
        <v>636</v>
      </c>
      <c r="Q4" s="24" t="s">
        <v>164</v>
      </c>
      <c r="R4" s="23" t="s">
        <v>165</v>
      </c>
    </row>
    <row r="5" spans="1:18" x14ac:dyDescent="0.25">
      <c r="H5" t="s">
        <v>708</v>
      </c>
      <c r="I5" t="s">
        <v>709</v>
      </c>
      <c r="N5" t="s">
        <v>710</v>
      </c>
      <c r="O5" t="s">
        <v>711</v>
      </c>
      <c r="Q5" s="24" t="s">
        <v>160</v>
      </c>
      <c r="R5" s="4" t="s">
        <v>642</v>
      </c>
    </row>
    <row r="6" spans="1:18" x14ac:dyDescent="0.25">
      <c r="H6" t="s">
        <v>639</v>
      </c>
      <c r="I6" t="s">
        <v>643</v>
      </c>
      <c r="N6" t="s">
        <v>712</v>
      </c>
      <c r="O6" t="s">
        <v>713</v>
      </c>
      <c r="Q6" t="s">
        <v>714</v>
      </c>
      <c r="R6" s="23" t="s">
        <v>715</v>
      </c>
    </row>
    <row r="7" spans="1:18" x14ac:dyDescent="0.25">
      <c r="H7" t="s">
        <v>644</v>
      </c>
      <c r="I7" t="s">
        <v>646</v>
      </c>
      <c r="N7" t="s">
        <v>644</v>
      </c>
      <c r="O7" t="s">
        <v>645</v>
      </c>
      <c r="Q7" s="24" t="s">
        <v>716</v>
      </c>
      <c r="R7" s="23" t="s">
        <v>717</v>
      </c>
    </row>
    <row r="8" spans="1:18" x14ac:dyDescent="0.25">
      <c r="H8" t="s">
        <v>718</v>
      </c>
      <c r="I8" t="s">
        <v>719</v>
      </c>
      <c r="N8" t="s">
        <v>720</v>
      </c>
      <c r="O8" t="s">
        <v>721</v>
      </c>
      <c r="Q8" s="24" t="s">
        <v>161</v>
      </c>
      <c r="R8" s="23" t="s">
        <v>646</v>
      </c>
    </row>
    <row r="9" spans="1:18" x14ac:dyDescent="0.25">
      <c r="H9" t="s">
        <v>722</v>
      </c>
      <c r="I9" t="s">
        <v>723</v>
      </c>
      <c r="N9" t="s">
        <v>724</v>
      </c>
      <c r="O9" t="s">
        <v>725</v>
      </c>
      <c r="Q9" s="24" t="s">
        <v>726</v>
      </c>
      <c r="R9" s="23" t="s">
        <v>719</v>
      </c>
    </row>
    <row r="10" spans="1:18" x14ac:dyDescent="0.25">
      <c r="H10" t="s">
        <v>166</v>
      </c>
      <c r="I10" t="s">
        <v>727</v>
      </c>
      <c r="N10" t="s">
        <v>651</v>
      </c>
      <c r="O10" t="s">
        <v>652</v>
      </c>
      <c r="Q10" s="24" t="s">
        <v>728</v>
      </c>
      <c r="R10" s="23" t="s">
        <v>723</v>
      </c>
    </row>
    <row r="11" spans="1:18" x14ac:dyDescent="0.25">
      <c r="H11" t="s">
        <v>167</v>
      </c>
      <c r="I11" t="s">
        <v>729</v>
      </c>
      <c r="N11" t="s">
        <v>655</v>
      </c>
      <c r="O11" t="s">
        <v>656</v>
      </c>
      <c r="Q11" s="24" t="s">
        <v>663</v>
      </c>
      <c r="R11" s="23" t="s">
        <v>727</v>
      </c>
    </row>
    <row r="12" spans="1:18" x14ac:dyDescent="0.25">
      <c r="H12" t="s">
        <v>730</v>
      </c>
      <c r="I12" t="s">
        <v>731</v>
      </c>
      <c r="N12" t="s">
        <v>732</v>
      </c>
      <c r="O12" t="s">
        <v>733</v>
      </c>
      <c r="Q12" s="24" t="s">
        <v>734</v>
      </c>
      <c r="R12" s="25" t="s">
        <v>729</v>
      </c>
    </row>
    <row r="13" spans="1:18" x14ac:dyDescent="0.25">
      <c r="H13" t="s">
        <v>735</v>
      </c>
      <c r="I13" t="s">
        <v>736</v>
      </c>
      <c r="N13" t="s">
        <v>730</v>
      </c>
      <c r="O13" t="s">
        <v>731</v>
      </c>
      <c r="Q13" s="24" t="s">
        <v>737</v>
      </c>
      <c r="R13" s="23" t="s">
        <v>731</v>
      </c>
    </row>
    <row r="14" spans="1:18" x14ac:dyDescent="0.25">
      <c r="H14" t="s">
        <v>168</v>
      </c>
      <c r="I14" t="s">
        <v>738</v>
      </c>
      <c r="N14" t="s">
        <v>739</v>
      </c>
      <c r="O14" t="s">
        <v>740</v>
      </c>
      <c r="Q14" s="24" t="s">
        <v>741</v>
      </c>
      <c r="R14" s="23" t="s">
        <v>742</v>
      </c>
    </row>
    <row r="15" spans="1:18" x14ac:dyDescent="0.25">
      <c r="H15" s="17">
        <v>2024</v>
      </c>
      <c r="I15" s="17"/>
      <c r="N15" t="s">
        <v>743</v>
      </c>
      <c r="O15" t="s">
        <v>744</v>
      </c>
      <c r="Q15" s="24" t="s">
        <v>745</v>
      </c>
      <c r="R15" s="23" t="s">
        <v>746</v>
      </c>
    </row>
    <row r="16" spans="1:18" x14ac:dyDescent="0.25">
      <c r="H16" s="12" t="s">
        <v>564</v>
      </c>
      <c r="I16" s="12" t="s">
        <v>564</v>
      </c>
      <c r="N16" s="22" t="s">
        <v>693</v>
      </c>
      <c r="O16" s="22"/>
      <c r="Q16" s="22" t="s">
        <v>693</v>
      </c>
      <c r="R16" s="22"/>
    </row>
    <row r="17" spans="1:18" ht="16.5" customHeight="1" x14ac:dyDescent="0.25">
      <c r="H17" s="17" t="s">
        <v>563</v>
      </c>
      <c r="I17" s="17"/>
      <c r="N17" s="11" t="s">
        <v>564</v>
      </c>
      <c r="O17" s="11" t="s">
        <v>564</v>
      </c>
      <c r="Q17" s="11" t="s">
        <v>564</v>
      </c>
      <c r="R17" s="11" t="s">
        <v>564</v>
      </c>
    </row>
    <row r="18" spans="1:18" ht="16.5" customHeight="1" x14ac:dyDescent="0.25">
      <c r="H18" s="17" t="s">
        <v>695</v>
      </c>
      <c r="I18" s="17"/>
      <c r="N18" s="17" t="s">
        <v>563</v>
      </c>
      <c r="O18" s="17"/>
      <c r="Q18" s="17" t="s">
        <v>563</v>
      </c>
      <c r="R18" s="17"/>
    </row>
    <row r="19" spans="1:18" x14ac:dyDescent="0.25">
      <c r="A19" t="s">
        <v>14</v>
      </c>
      <c r="B19" t="s">
        <v>15</v>
      </c>
    </row>
    <row r="20" spans="1:18" x14ac:dyDescent="0.25">
      <c r="A20" t="s">
        <v>16</v>
      </c>
      <c r="B20" t="s">
        <v>17</v>
      </c>
    </row>
    <row r="21" spans="1:18" x14ac:dyDescent="0.25">
      <c r="A21" t="s">
        <v>18</v>
      </c>
      <c r="B21" t="s">
        <v>19</v>
      </c>
      <c r="H21" t="s">
        <v>696</v>
      </c>
      <c r="K21" t="s">
        <v>697</v>
      </c>
      <c r="N21" t="s">
        <v>698</v>
      </c>
      <c r="Q21" t="s">
        <v>699</v>
      </c>
    </row>
  </sheetData>
  <mergeCells count="7">
    <mergeCell ref="H15:I15"/>
    <mergeCell ref="N16:O16"/>
    <mergeCell ref="Q16:R16"/>
    <mergeCell ref="H17:I17"/>
    <mergeCell ref="H18:I18"/>
    <mergeCell ref="N18:O18"/>
    <mergeCell ref="Q18:R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F1</vt:lpstr>
      <vt:lpstr>F2</vt:lpstr>
      <vt:lpstr>F3</vt:lpstr>
      <vt:lpstr>F4</vt:lpstr>
      <vt:lpstr>F5</vt:lpstr>
      <vt:lpstr>F6 By Topics</vt:lpstr>
      <vt:lpstr>F6 By Years</vt:lpstr>
      <vt:lpstr>F6 學校mock卷</vt:lpstr>
      <vt:lpstr>Cut Off</vt:lpstr>
      <vt:lpstr>Exam Schedule</vt:lpstr>
      <vt:lpstr>PU</vt:lpstr>
      <vt:lpstr>M1</vt:lpstr>
      <vt:lpstr>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 beyond</cp:lastModifiedBy>
  <dcterms:modified xsi:type="dcterms:W3CDTF">2026-10-05T10:47:53Z</dcterms:modified>
</cp:coreProperties>
</file>